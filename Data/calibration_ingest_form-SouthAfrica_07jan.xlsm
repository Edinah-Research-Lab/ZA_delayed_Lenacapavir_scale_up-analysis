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e-young.kim\OneDrive - AHRI\Documents\GitHub\HIVCalibration\South Africa\Data\"/>
    </mc:Choice>
  </mc:AlternateContent>
  <xr:revisionPtr revIDLastSave="0" documentId="13_ncr:1_{D081B70F-54B7-47BA-BFE3-AFC7A4DB59BF}" xr6:coauthVersionLast="45" xr6:coauthVersionMax="45" xr10:uidLastSave="{00000000-0000-0000-0000-000000000000}"/>
  <bookViews>
    <workbookView xWindow="-11800" yWindow="-21710" windowWidth="38620" windowHeight="21220" firstSheet="1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definedNames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9" i="17" l="1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8" i="17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84" i="14"/>
  <c r="R85" i="14"/>
  <c r="R86" i="14"/>
  <c r="R87" i="14"/>
  <c r="R88" i="14"/>
  <c r="R89" i="14"/>
  <c r="R90" i="14"/>
  <c r="R91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6" i="14"/>
  <c r="R107" i="14"/>
  <c r="R108" i="14"/>
  <c r="R109" i="14"/>
  <c r="R110" i="14"/>
  <c r="R111" i="14"/>
  <c r="R112" i="14"/>
  <c r="R113" i="14"/>
  <c r="R114" i="14"/>
  <c r="R115" i="14"/>
  <c r="R116" i="14"/>
  <c r="R117" i="14"/>
  <c r="R118" i="14"/>
  <c r="R119" i="14"/>
  <c r="R120" i="14"/>
  <c r="R121" i="14"/>
  <c r="R122" i="14"/>
  <c r="R123" i="14"/>
  <c r="R124" i="14"/>
  <c r="R125" i="14"/>
  <c r="R126" i="14"/>
  <c r="R127" i="14"/>
  <c r="R8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<sst xmlns="http://schemas.openxmlformats.org/spreadsheetml/2006/main" count="1426" uniqueCount="228">
  <si>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</si>
  <si>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</si>
  <si>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</si>
  <si>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</si>
  <si>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</si>
  <si>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</si>
  <si>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</si>
  <si>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</si>
  <si>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</si>
  <si>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</si>
  <si>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</si>
  <si>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</si>
  <si>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</si>
  <si>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</si>
  <si>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</si>
  <si>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</si>
  <si>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</si>
  <si>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</si>
  <si>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</si>
  <si>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</si>
  <si>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</si>
  <si>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</si>
  <si>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</si>
  <si>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</si>
  <si>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</si>
  <si>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</si>
  <si>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</si>
  <si>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</si>
  <si>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</si>
  <si>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</si>
  <si>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</si>
  <si>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</si>
  <si>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</si>
  <si>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</si>
  <si>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</si>
  <si>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</si>
  <si>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</si>
  <si>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</si>
  <si>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</si>
  <si>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</si>
  <si>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</si>
  <si>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</si>
  <si>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</si>
  <si>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</si>
  <si>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</si>
  <si>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</si>
  <si>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</si>
  <si>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</si>
  <si>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</si>
  <si>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</si>
  <si>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</si>
  <si>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</si>
  <si>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</si>
  <si>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</si>
  <si>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</si>
  <si>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</si>
  <si>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</si>
  <si>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</si>
  <si>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</si>
  <si>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</si>
  <si>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</si>
  <si>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</si>
  <si>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</si>
  <si>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</si>
  <si>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</si>
  <si>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</si>
  <si>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</si>
  <si>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</si>
  <si>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</si>
  <si>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</si>
  <si>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</si>
  <si>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</si>
  <si>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</si>
  <si>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</si>
  <si>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</si>
  <si>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</si>
  <si>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</si>
  <si>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</si>
  <si>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</si>
  <si>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</si>
  <si>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</si>
  <si>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</si>
  <si>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</si>
  <si>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</si>
  <si>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</si>
  <si>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</si>
  <si>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</si>
  <si>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</si>
  <si>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</si>
  <si>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</si>
  <si>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</si>
  <si>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</si>
  <si>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</si>
  <si>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</si>
  <si>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</si>
  <si>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</si>
  <si>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</si>
  <si>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</si>
  <si>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</si>
  <si>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</si>
  <si>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Homa_Bay</t>
  </si>
  <si>
    <t>Kisii</t>
  </si>
  <si>
    <t>Kisumu</t>
  </si>
  <si>
    <t>Migori</t>
  </si>
  <si>
    <t>Nyamira</t>
  </si>
  <si>
    <t>Siaya</t>
  </si>
  <si>
    <t>Base Infectivity</t>
  </si>
  <si>
    <t>Base_Infectivity</t>
  </si>
  <si>
    <t>Circumcision Reduced Acquire</t>
  </si>
  <si>
    <t>Circumcision_Reduced_Acquire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</si>
  <si>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</si>
  <si>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</si>
  <si>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</si>
  <si>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</si>
  <si>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</si>
  <si>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</si>
  <si>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</si>
  <si>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</si>
  <si>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</si>
  <si>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</si>
  <si>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</si>
  <si>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</si>
  <si>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</si>
  <si>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</si>
  <si>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</si>
  <si>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</si>
  <si>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</si>
  <si>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</si>
  <si>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</si>
  <si>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</si>
  <si>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</si>
  <si>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</si>
  <si>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</si>
  <si>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</si>
  <si>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[5:10)</t>
  </si>
  <si>
    <t>[10:15)</t>
  </si>
  <si>
    <t>[55:60)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</si>
  <si>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</si>
  <si>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</si>
  <si>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</si>
  <si>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</si>
  <si>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</si>
  <si>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</si>
  <si>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</si>
  <si>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</si>
  <si>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Male To Female Young</t>
  </si>
  <si>
    <t>Male To Female Old</t>
  </si>
  <si>
    <t>Risk Assortivity</t>
  </si>
  <si>
    <t>OnART</t>
  </si>
  <si>
    <t>Non-provincial data should be specified as Province: 'All' (no quotes)</t>
  </si>
  <si>
    <t>Trns Form Rate</t>
  </si>
  <si>
    <t>Mrtl Form Rate</t>
  </si>
  <si>
    <t>Trns Condom Late</t>
  </si>
  <si>
    <t>Mrtl Condom Mid</t>
  </si>
  <si>
    <t>Mrtl Condom Rate</t>
  </si>
  <si>
    <t>Trns Condom Rate</t>
  </si>
  <si>
    <t>Infrml Condom Mid</t>
  </si>
  <si>
    <t>Infrml Condom Rate</t>
  </si>
  <si>
    <t>Mrtl Condom Max</t>
  </si>
  <si>
    <t>Pr Ex Trns Male LOW</t>
  </si>
  <si>
    <t>Pr Ex Trns Male MED</t>
  </si>
  <si>
    <t>Pr Ex Trns Fem LOW</t>
  </si>
  <si>
    <t>Pr Ex Trns Fem MED</t>
  </si>
  <si>
    <t>Max Trns M LOW</t>
  </si>
  <si>
    <t>Max Trns F LOW</t>
  </si>
  <si>
    <t>Max Trns F MED</t>
  </si>
  <si>
    <t>Max Infmrl M MED</t>
  </si>
  <si>
    <t>Max Infmrl F MED</t>
  </si>
  <si>
    <t>Max Mrtl M ME</t>
  </si>
  <si>
    <t>Max Mrtl F ME</t>
  </si>
  <si>
    <t>Infrml Dur Het</t>
  </si>
  <si>
    <t>PreART Link Min</t>
  </si>
  <si>
    <t>PreART Link Max</t>
  </si>
  <si>
    <t>PreART Link Mid</t>
  </si>
  <si>
    <t>ART Link Max</t>
  </si>
  <si>
    <t>ART Link Mid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</si>
  <si>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</si>
  <si>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</si>
  <si>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</si>
  <si>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</si>
  <si>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</si>
  <si>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</si>
  <si>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</si>
  <si>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</si>
  <si>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</si>
  <si>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</si>
  <si>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</si>
  <si>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</si>
  <si>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</si>
  <si>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</si>
  <si>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</si>
  <si>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</si>
  <si>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</si>
  <si>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</si>
  <si>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</si>
  <si>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</si>
  <si>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</si>
  <si>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</si>
  <si>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</si>
  <si>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</si>
  <si>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</si>
  <si>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</si>
  <si>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</si>
  <si>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</si>
  <si>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</si>
  <si>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</si>
  <si>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Actual_IndividualIntervention_Config__KP_PreART_Link.Ramp_MidYear</t>
  </si>
  <si>
    <t>Actual_IndividualIntervention_Config__KP_ART_Link.Ramp_Max</t>
  </si>
  <si>
    <t>Actual_IndividualIntervention_Config__KP_ART_Link.Ramp_MidYear</t>
  </si>
  <si>
    <t>[0:5)</t>
  </si>
  <si>
    <t>SouthAfrica</t>
  </si>
  <si>
    <t>Society__KP_All.TRANSITORY.Relationship_Parameters.Condom_Usage_Probability.Max</t>
  </si>
  <si>
    <t>Society__KP_All.INFORMAL.Relationship_Parameters.Condom_Usage_Probability.Max</t>
  </si>
  <si>
    <t>All: Trns Condoms Late</t>
  </si>
  <si>
    <t>All: LOW Risk</t>
  </si>
  <si>
    <t>Infmrl Form Rate</t>
  </si>
  <si>
    <t>Infmrl Condoms Late</t>
  </si>
  <si>
    <t>Pr Ex Infmrl Male LOW</t>
  </si>
  <si>
    <t>Pr Ex Infmrl Fem LOW</t>
  </si>
  <si>
    <t>Max Infmrl M LOW</t>
  </si>
  <si>
    <t>Max Infmrl F LOW</t>
  </si>
  <si>
    <t>Pr Ex Infmrl Male MED</t>
  </si>
  <si>
    <t>Pr Ex Infmrl Fem MED</t>
  </si>
  <si>
    <t>Max Trns M MED</t>
  </si>
  <si>
    <t>Trns Condom Mid</t>
  </si>
  <si>
    <t>SeedYr HIGH</t>
  </si>
  <si>
    <t>Start_Year__KP_Seeding_Year</t>
  </si>
  <si>
    <t>All: Infmrl Condoms 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</si>
</sst>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42578125" customWidth="1"/>
    <col min="4" max="4" width="22.570312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2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47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workbookViewId="0">
      <selection activeCell="B12" sqref="B12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210</v>
      </c>
    </row>
    <row r="8" spans="1:13" x14ac:dyDescent="0.25">
      <c r="A8" s="9" t="s">
        <v>85</v>
      </c>
      <c r="B8" s="6">
        <v>28503015</v>
      </c>
    </row>
    <row r="9" spans="1:13" x14ac:dyDescent="0.25">
      <c r="A9" s="9" t="s">
        <v>86</v>
      </c>
      <c r="B9" s="7">
        <v>2011</v>
      </c>
    </row>
    <row r="10" spans="1:13" x14ac:dyDescent="0.25">
      <c r="A10" s="9" t="s">
        <v>87</v>
      </c>
      <c r="B10" s="6" t="s">
        <v>122</v>
      </c>
    </row>
    <row r="11" spans="1:13" x14ac:dyDescent="0.2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1"/>
  <sheetViews>
    <sheetView topLeftCell="A11" workbookViewId="0">
      <selection activeCell="C44" sqref="C44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 t="s">
        <v>225</v>
      </c>
      <c r="B2" s="5" t="b">
        <v>0</v>
      </c>
      <c r="C2" s="4">
        <v>1991</v>
      </c>
      <c r="D2" s="5">
        <v>1980</v>
      </c>
      <c r="E2" s="4">
        <v>1993</v>
      </c>
      <c r="F2" s="5" t="s">
        <v>226</v>
      </c>
      <c r="G2" s="16"/>
    </row>
    <row r="3" spans="1:7" x14ac:dyDescent="0.25">
      <c r="A3" s="4" t="s">
        <v>106</v>
      </c>
      <c r="B3" s="5" t="b">
        <v>1</v>
      </c>
      <c r="C3" s="4">
        <v>1.4134329565963701E-3</v>
      </c>
      <c r="D3" s="5">
        <v>1E-4</v>
      </c>
      <c r="E3" s="4">
        <v>4.0000000000000001E-3</v>
      </c>
      <c r="F3" s="5" t="s">
        <v>107</v>
      </c>
    </row>
    <row r="4" spans="1:7" x14ac:dyDescent="0.25">
      <c r="A4" s="4" t="s">
        <v>108</v>
      </c>
      <c r="B4" s="5" t="b">
        <v>0</v>
      </c>
      <c r="C4" s="4">
        <v>0.6</v>
      </c>
      <c r="D4" s="5">
        <v>0.4</v>
      </c>
      <c r="E4" s="4">
        <v>0.9</v>
      </c>
      <c r="F4" s="5" t="s">
        <v>109</v>
      </c>
    </row>
    <row r="5" spans="1:7" x14ac:dyDescent="0.25">
      <c r="A5" s="4" t="s">
        <v>137</v>
      </c>
      <c r="B5" s="5" t="b">
        <v>1</v>
      </c>
      <c r="C5" s="4">
        <v>16.414918393036501</v>
      </c>
      <c r="D5" s="5">
        <v>15</v>
      </c>
      <c r="E5" s="4">
        <v>20</v>
      </c>
      <c r="F5" s="5" t="s">
        <v>138</v>
      </c>
    </row>
    <row r="6" spans="1:7" x14ac:dyDescent="0.25">
      <c r="A6" s="4" t="s">
        <v>139</v>
      </c>
      <c r="B6" s="5" t="b">
        <v>1</v>
      </c>
      <c r="C6" s="4">
        <v>6.60495203903948E-2</v>
      </c>
      <c r="D6" s="5">
        <v>0.01</v>
      </c>
      <c r="E6" s="4">
        <v>0.3</v>
      </c>
      <c r="F6" s="5" t="s">
        <v>140</v>
      </c>
      <c r="G6" s="16"/>
    </row>
    <row r="7" spans="1:7" x14ac:dyDescent="0.25">
      <c r="A7" s="4" t="s">
        <v>141</v>
      </c>
      <c r="B7" s="5" t="b">
        <v>1</v>
      </c>
      <c r="C7" s="4">
        <v>16.230450049267802</v>
      </c>
      <c r="D7" s="5">
        <v>15</v>
      </c>
      <c r="E7" s="4">
        <v>20</v>
      </c>
      <c r="F7" s="5" t="s">
        <v>142</v>
      </c>
      <c r="G7" s="16"/>
    </row>
    <row r="8" spans="1:7" x14ac:dyDescent="0.25">
      <c r="A8" s="4" t="s">
        <v>143</v>
      </c>
      <c r="B8" s="5" t="b">
        <v>1</v>
      </c>
      <c r="C8" s="4">
        <v>6.0356739209226497E-2</v>
      </c>
      <c r="D8" s="5">
        <v>0.01</v>
      </c>
      <c r="E8" s="4">
        <v>0.3</v>
      </c>
      <c r="F8" s="5" t="s">
        <v>144</v>
      </c>
      <c r="G8" s="16"/>
    </row>
    <row r="9" spans="1:7" x14ac:dyDescent="0.25">
      <c r="A9" s="4" t="s">
        <v>150</v>
      </c>
      <c r="B9" s="5" t="b">
        <v>1</v>
      </c>
      <c r="C9" s="4">
        <v>1.3479081855447099E-3</v>
      </c>
      <c r="D9" s="5">
        <v>1.37E-4</v>
      </c>
      <c r="E9" s="4">
        <v>2.7399999999999998E-3</v>
      </c>
      <c r="F9" s="5" t="s">
        <v>176</v>
      </c>
      <c r="G9" s="17"/>
    </row>
    <row r="10" spans="1:7" x14ac:dyDescent="0.25">
      <c r="A10" s="4" t="s">
        <v>215</v>
      </c>
      <c r="B10" s="5" t="b">
        <v>1</v>
      </c>
      <c r="C10" s="22">
        <v>8.3873721483384504E-4</v>
      </c>
      <c r="D10" s="21">
        <v>9.1324200913241998E-5</v>
      </c>
      <c r="E10" s="4">
        <v>2.7397260273972599E-3</v>
      </c>
      <c r="F10" s="5" t="s">
        <v>177</v>
      </c>
    </row>
    <row r="11" spans="1:7" x14ac:dyDescent="0.25">
      <c r="A11" s="4" t="s">
        <v>151</v>
      </c>
      <c r="B11" s="5" t="b">
        <v>1</v>
      </c>
      <c r="C11" s="22">
        <v>1.05145804870435E-4</v>
      </c>
      <c r="D11" s="21">
        <v>2.7945205479452E-5</v>
      </c>
      <c r="E11" s="4">
        <v>1.7397260273972599E-4</v>
      </c>
      <c r="F11" s="5" t="s">
        <v>178</v>
      </c>
    </row>
    <row r="12" spans="1:7" x14ac:dyDescent="0.25">
      <c r="A12" s="4" t="s">
        <v>145</v>
      </c>
      <c r="B12" s="5" t="b">
        <v>1</v>
      </c>
      <c r="C12" s="4">
        <v>2.5441269995722502</v>
      </c>
      <c r="D12" s="5">
        <v>1</v>
      </c>
      <c r="E12" s="4">
        <v>10</v>
      </c>
      <c r="F12" s="5"/>
    </row>
    <row r="13" spans="1:7" x14ac:dyDescent="0.25">
      <c r="A13" s="4" t="s">
        <v>146</v>
      </c>
      <c r="B13" s="5" t="b">
        <v>1</v>
      </c>
      <c r="C13" s="4">
        <v>2.4201920682693698</v>
      </c>
      <c r="D13" s="5">
        <v>1</v>
      </c>
      <c r="E13" s="4">
        <v>5</v>
      </c>
      <c r="F13" s="5"/>
    </row>
    <row r="14" spans="1:7" x14ac:dyDescent="0.25">
      <c r="A14" s="4" t="s">
        <v>224</v>
      </c>
      <c r="B14" s="5" t="b">
        <v>1</v>
      </c>
      <c r="C14" s="4">
        <v>2005.78184653877</v>
      </c>
      <c r="D14" s="5">
        <v>1990</v>
      </c>
      <c r="E14" s="4">
        <v>2010</v>
      </c>
      <c r="F14" s="5" t="s">
        <v>179</v>
      </c>
    </row>
    <row r="15" spans="1:7" x14ac:dyDescent="0.25">
      <c r="A15" s="4" t="s">
        <v>155</v>
      </c>
      <c r="B15" s="5" t="b">
        <v>1</v>
      </c>
      <c r="C15" s="4">
        <v>1.8459600268260801</v>
      </c>
      <c r="D15" s="5">
        <v>0</v>
      </c>
      <c r="E15" s="4">
        <v>4</v>
      </c>
      <c r="F15" s="5" t="s">
        <v>180</v>
      </c>
    </row>
    <row r="16" spans="1:7" x14ac:dyDescent="0.25">
      <c r="A16" s="4" t="s">
        <v>152</v>
      </c>
      <c r="B16" s="5" t="b">
        <v>1</v>
      </c>
      <c r="C16" s="4">
        <v>0.60405735490478996</v>
      </c>
      <c r="D16" s="5">
        <v>0</v>
      </c>
      <c r="E16" s="4">
        <v>0.8</v>
      </c>
      <c r="F16" s="5" t="s">
        <v>181</v>
      </c>
    </row>
    <row r="17" spans="1:6" x14ac:dyDescent="0.25">
      <c r="A17" s="4" t="s">
        <v>156</v>
      </c>
      <c r="B17" s="5" t="b">
        <v>1</v>
      </c>
      <c r="C17" s="4">
        <v>1997.7825653519301</v>
      </c>
      <c r="D17" s="5">
        <v>1990</v>
      </c>
      <c r="E17" s="4">
        <v>2010</v>
      </c>
      <c r="F17" s="5" t="s">
        <v>182</v>
      </c>
    </row>
    <row r="18" spans="1:6" x14ac:dyDescent="0.25">
      <c r="A18" s="4" t="s">
        <v>157</v>
      </c>
      <c r="B18" s="5" t="b">
        <v>1</v>
      </c>
      <c r="C18" s="4">
        <v>2.0583641046832599</v>
      </c>
      <c r="D18" s="5">
        <v>0</v>
      </c>
      <c r="E18" s="4">
        <v>3</v>
      </c>
      <c r="F18" s="5" t="s">
        <v>183</v>
      </c>
    </row>
    <row r="19" spans="1:6" x14ac:dyDescent="0.25">
      <c r="A19" s="4" t="s">
        <v>216</v>
      </c>
      <c r="B19" s="5" t="b">
        <v>1</v>
      </c>
      <c r="C19" s="4">
        <v>0.37125223632083199</v>
      </c>
      <c r="D19" s="5">
        <v>0</v>
      </c>
      <c r="E19" s="4">
        <v>0.9</v>
      </c>
      <c r="F19" s="5" t="s">
        <v>184</v>
      </c>
    </row>
    <row r="20" spans="1:6" x14ac:dyDescent="0.25">
      <c r="A20" s="4" t="s">
        <v>153</v>
      </c>
      <c r="B20" s="5" t="b">
        <v>1</v>
      </c>
      <c r="C20" s="4">
        <v>1995.0199908443401</v>
      </c>
      <c r="D20" s="5">
        <v>1990</v>
      </c>
      <c r="E20" s="4">
        <v>2005</v>
      </c>
      <c r="F20" s="5" t="s">
        <v>185</v>
      </c>
    </row>
    <row r="21" spans="1:6" x14ac:dyDescent="0.25">
      <c r="A21" s="4" t="s">
        <v>154</v>
      </c>
      <c r="B21" s="5" t="b">
        <v>1</v>
      </c>
      <c r="C21" s="4">
        <v>3.6593240401281699</v>
      </c>
      <c r="D21" s="5">
        <v>1</v>
      </c>
      <c r="E21" s="4">
        <v>5</v>
      </c>
      <c r="F21" s="5" t="s">
        <v>186</v>
      </c>
    </row>
    <row r="22" spans="1:6" x14ac:dyDescent="0.25">
      <c r="A22" s="4" t="s">
        <v>158</v>
      </c>
      <c r="B22" s="5" t="b">
        <v>1</v>
      </c>
      <c r="C22" s="4">
        <v>0.184096420927187</v>
      </c>
      <c r="D22" s="5">
        <v>0</v>
      </c>
      <c r="E22" s="4">
        <v>0.3</v>
      </c>
      <c r="F22" s="5" t="s">
        <v>187</v>
      </c>
    </row>
    <row r="23" spans="1:6" x14ac:dyDescent="0.25">
      <c r="A23" s="4" t="s">
        <v>147</v>
      </c>
      <c r="B23" s="5" t="b">
        <v>1</v>
      </c>
      <c r="C23" s="4">
        <v>0.49982721693991899</v>
      </c>
      <c r="D23" s="5">
        <v>5.0000000000000001E-3</v>
      </c>
      <c r="E23" s="4">
        <v>0.95</v>
      </c>
      <c r="F23" s="5"/>
    </row>
    <row r="24" spans="1:6" x14ac:dyDescent="0.25">
      <c r="A24" s="4" t="s">
        <v>159</v>
      </c>
      <c r="B24" s="5" t="b">
        <v>1</v>
      </c>
      <c r="C24" s="4">
        <v>0.17072389852898001</v>
      </c>
      <c r="D24" s="5">
        <v>0</v>
      </c>
      <c r="E24" s="4">
        <v>0.5</v>
      </c>
      <c r="F24" s="5" t="s">
        <v>188</v>
      </c>
    </row>
    <row r="25" spans="1:6" x14ac:dyDescent="0.25">
      <c r="A25" s="4" t="s">
        <v>160</v>
      </c>
      <c r="B25" s="5" t="b">
        <v>1</v>
      </c>
      <c r="C25" s="4">
        <v>0.576596651174627</v>
      </c>
      <c r="D25" s="5">
        <v>0</v>
      </c>
      <c r="E25" s="4">
        <v>0.8</v>
      </c>
      <c r="F25" s="5" t="s">
        <v>189</v>
      </c>
    </row>
    <row r="26" spans="1:6" x14ac:dyDescent="0.25">
      <c r="A26" s="4" t="s">
        <v>161</v>
      </c>
      <c r="B26" s="5" t="b">
        <v>1</v>
      </c>
      <c r="C26" s="4">
        <v>6.1257342382271103E-2</v>
      </c>
      <c r="D26" s="5">
        <v>0</v>
      </c>
      <c r="E26" s="4">
        <v>0.25</v>
      </c>
      <c r="F26" s="5" t="s">
        <v>190</v>
      </c>
    </row>
    <row r="27" spans="1:6" x14ac:dyDescent="0.25">
      <c r="A27" s="4" t="s">
        <v>162</v>
      </c>
      <c r="B27" s="5" t="b">
        <v>1</v>
      </c>
      <c r="C27" s="4">
        <v>0.56279490715048097</v>
      </c>
      <c r="D27" s="5">
        <v>0</v>
      </c>
      <c r="E27" s="4">
        <v>0.8</v>
      </c>
      <c r="F27" s="5" t="s">
        <v>191</v>
      </c>
    </row>
    <row r="28" spans="1:6" x14ac:dyDescent="0.25">
      <c r="A28" s="4" t="s">
        <v>217</v>
      </c>
      <c r="B28" s="5" t="b">
        <v>1</v>
      </c>
      <c r="C28" s="4">
        <v>0.42457510061293002</v>
      </c>
      <c r="D28" s="5">
        <v>0</v>
      </c>
      <c r="E28" s="4">
        <v>0.7</v>
      </c>
      <c r="F28" s="5" t="s">
        <v>192</v>
      </c>
    </row>
    <row r="29" spans="1:6" x14ac:dyDescent="0.25">
      <c r="A29" s="4" t="s">
        <v>218</v>
      </c>
      <c r="B29" s="5" t="b">
        <v>1</v>
      </c>
      <c r="C29" s="4">
        <v>9.9999999999999995E-7</v>
      </c>
      <c r="D29" s="5">
        <v>0</v>
      </c>
      <c r="E29" s="4">
        <v>0.5</v>
      </c>
      <c r="F29" s="5" t="s">
        <v>192</v>
      </c>
    </row>
    <row r="30" spans="1:6" x14ac:dyDescent="0.25">
      <c r="A30" s="4" t="s">
        <v>163</v>
      </c>
      <c r="B30" s="5" t="b">
        <v>1</v>
      </c>
      <c r="C30" s="4">
        <v>1.4568989019990299</v>
      </c>
      <c r="D30" s="5">
        <v>0.9</v>
      </c>
      <c r="E30" s="4">
        <v>2</v>
      </c>
      <c r="F30" s="5" t="s">
        <v>193</v>
      </c>
    </row>
    <row r="31" spans="1:6" x14ac:dyDescent="0.25">
      <c r="A31" s="4" t="s">
        <v>164</v>
      </c>
      <c r="B31" s="5" t="b">
        <v>1</v>
      </c>
      <c r="C31" s="4">
        <v>1.5180939540923399</v>
      </c>
      <c r="D31" s="5">
        <v>0.9</v>
      </c>
      <c r="E31" s="4">
        <v>2</v>
      </c>
      <c r="F31" s="5" t="s">
        <v>194</v>
      </c>
    </row>
    <row r="32" spans="1:6" x14ac:dyDescent="0.25">
      <c r="A32" s="4" t="s">
        <v>219</v>
      </c>
      <c r="B32" s="5" t="b">
        <v>1</v>
      </c>
      <c r="C32" s="4">
        <v>1.7474776478181999</v>
      </c>
      <c r="D32" s="5">
        <v>0.9</v>
      </c>
      <c r="E32" s="4">
        <v>2</v>
      </c>
      <c r="F32" s="5" t="s">
        <v>195</v>
      </c>
    </row>
    <row r="33" spans="1:6" x14ac:dyDescent="0.25">
      <c r="A33" s="4" t="s">
        <v>220</v>
      </c>
      <c r="B33" s="5" t="b">
        <v>1</v>
      </c>
      <c r="C33" s="4">
        <v>1.6593484715275699</v>
      </c>
      <c r="D33" s="5">
        <v>0.9</v>
      </c>
      <c r="E33" s="4">
        <v>2</v>
      </c>
      <c r="F33" s="5" t="s">
        <v>196</v>
      </c>
    </row>
    <row r="34" spans="1:6" x14ac:dyDescent="0.25">
      <c r="A34" s="4" t="s">
        <v>221</v>
      </c>
      <c r="B34" s="5" t="b">
        <v>1</v>
      </c>
      <c r="C34" s="4">
        <v>0.39055913853576102</v>
      </c>
      <c r="D34" s="5">
        <v>0</v>
      </c>
      <c r="E34" s="4">
        <v>0.5</v>
      </c>
      <c r="F34" s="5" t="s">
        <v>197</v>
      </c>
    </row>
    <row r="35" spans="1:6" x14ac:dyDescent="0.25">
      <c r="A35" s="4" t="s">
        <v>222</v>
      </c>
      <c r="B35" s="5" t="b">
        <v>1</v>
      </c>
      <c r="C35" s="4">
        <v>0.39942859326457297</v>
      </c>
      <c r="D35" s="5">
        <v>0</v>
      </c>
      <c r="E35" s="4">
        <v>0.5</v>
      </c>
      <c r="F35" s="5" t="s">
        <v>198</v>
      </c>
    </row>
    <row r="36" spans="1:6" x14ac:dyDescent="0.25">
      <c r="A36" s="4" t="s">
        <v>223</v>
      </c>
      <c r="B36" s="5" t="b">
        <v>1</v>
      </c>
      <c r="C36" s="4">
        <v>3.1676051575807298</v>
      </c>
      <c r="D36" s="5">
        <v>0.9</v>
      </c>
      <c r="E36" s="4">
        <v>3.5</v>
      </c>
      <c r="F36" s="5" t="s">
        <v>199</v>
      </c>
    </row>
    <row r="37" spans="1:6" x14ac:dyDescent="0.25">
      <c r="A37" s="4" t="s">
        <v>165</v>
      </c>
      <c r="B37" s="5" t="b">
        <v>1</v>
      </c>
      <c r="C37" s="4">
        <v>3.0567665136474198</v>
      </c>
      <c r="D37" s="5">
        <v>0.9</v>
      </c>
      <c r="E37" s="4">
        <v>3.5</v>
      </c>
      <c r="F37" s="5" t="s">
        <v>200</v>
      </c>
    </row>
    <row r="38" spans="1:6" x14ac:dyDescent="0.25">
      <c r="A38" s="4" t="s">
        <v>166</v>
      </c>
      <c r="B38" s="5" t="b">
        <v>1</v>
      </c>
      <c r="C38" s="4">
        <v>0.789072715045813</v>
      </c>
      <c r="D38" s="5">
        <v>0.6</v>
      </c>
      <c r="E38" s="4">
        <v>2.5</v>
      </c>
      <c r="F38" s="5" t="s">
        <v>201</v>
      </c>
    </row>
    <row r="39" spans="1:6" x14ac:dyDescent="0.25">
      <c r="A39" s="4" t="s">
        <v>167</v>
      </c>
      <c r="B39" s="5" t="b">
        <v>1</v>
      </c>
      <c r="C39" s="4">
        <v>0.90384141267103102</v>
      </c>
      <c r="D39" s="5">
        <v>0.6</v>
      </c>
      <c r="E39" s="4">
        <v>2.5</v>
      </c>
      <c r="F39" s="5" t="s">
        <v>202</v>
      </c>
    </row>
    <row r="40" spans="1:6" x14ac:dyDescent="0.25">
      <c r="A40" s="4" t="s">
        <v>168</v>
      </c>
      <c r="B40" s="5" t="b">
        <v>1</v>
      </c>
      <c r="C40" s="4">
        <v>0.92602058772141704</v>
      </c>
      <c r="D40" s="5">
        <v>0.9</v>
      </c>
      <c r="E40" s="4">
        <v>2</v>
      </c>
      <c r="F40" s="5" t="s">
        <v>203</v>
      </c>
    </row>
    <row r="41" spans="1:6" x14ac:dyDescent="0.25">
      <c r="A41" s="4" t="s">
        <v>169</v>
      </c>
      <c r="B41" s="5" t="b">
        <v>1</v>
      </c>
      <c r="C41" s="4">
        <v>1.19500867307673</v>
      </c>
      <c r="D41" s="5">
        <v>0.9</v>
      </c>
      <c r="E41" s="4">
        <v>2</v>
      </c>
      <c r="F41" s="5" t="s">
        <v>204</v>
      </c>
    </row>
    <row r="42" spans="1:6" x14ac:dyDescent="0.25">
      <c r="A42" s="4" t="s">
        <v>170</v>
      </c>
      <c r="B42" s="5" t="b">
        <v>1</v>
      </c>
      <c r="C42" s="4">
        <v>0.68530185754198403</v>
      </c>
      <c r="D42" s="5">
        <v>1E-4</v>
      </c>
      <c r="E42" s="4">
        <v>0.99990000000000001</v>
      </c>
      <c r="F42" s="5" t="s">
        <v>205</v>
      </c>
    </row>
    <row r="43" spans="1:6" x14ac:dyDescent="0.25">
      <c r="A43" s="4" t="s">
        <v>213</v>
      </c>
      <c r="B43" s="5" t="b">
        <v>1</v>
      </c>
      <c r="C43" s="4">
        <v>0.19977086708066299</v>
      </c>
      <c r="D43" s="5">
        <v>1E-4</v>
      </c>
      <c r="E43" s="4">
        <v>0.7</v>
      </c>
      <c r="F43" s="5" t="s">
        <v>211</v>
      </c>
    </row>
    <row r="44" spans="1:6" x14ac:dyDescent="0.25">
      <c r="A44" s="4" t="s">
        <v>227</v>
      </c>
      <c r="B44" s="5" t="b">
        <v>1</v>
      </c>
      <c r="C44" s="4">
        <v>0.62732946175908799</v>
      </c>
      <c r="D44" s="5">
        <v>0</v>
      </c>
      <c r="E44" s="4">
        <v>1</v>
      </c>
      <c r="F44" s="5" t="s">
        <v>212</v>
      </c>
    </row>
    <row r="45" spans="1:6" x14ac:dyDescent="0.25">
      <c r="A45" s="4" t="s">
        <v>214</v>
      </c>
      <c r="B45" s="5" t="b">
        <v>1</v>
      </c>
      <c r="C45" s="4">
        <v>0.93474285560874903</v>
      </c>
      <c r="D45" s="5">
        <v>0.6</v>
      </c>
      <c r="E45" s="4">
        <v>1</v>
      </c>
      <c r="F45" s="5"/>
    </row>
    <row r="46" spans="1:6" x14ac:dyDescent="0.25">
      <c r="A46" s="4" t="s">
        <v>171</v>
      </c>
      <c r="B46" s="5" t="b">
        <v>1</v>
      </c>
      <c r="C46" s="4">
        <v>0.61998537098627404</v>
      </c>
      <c r="D46" s="5">
        <v>0</v>
      </c>
      <c r="E46" s="4">
        <v>1</v>
      </c>
      <c r="F46" s="5"/>
    </row>
    <row r="47" spans="1:6" x14ac:dyDescent="0.25">
      <c r="A47" s="4" t="s">
        <v>172</v>
      </c>
      <c r="B47" s="5" t="b">
        <v>1</v>
      </c>
      <c r="C47" s="4">
        <v>0.91473204299674504</v>
      </c>
      <c r="D47" s="5">
        <v>0</v>
      </c>
      <c r="E47" s="4">
        <v>1</v>
      </c>
      <c r="F47" s="5"/>
    </row>
    <row r="48" spans="1:6" x14ac:dyDescent="0.25">
      <c r="A48" s="4" t="s">
        <v>173</v>
      </c>
      <c r="B48" s="5" t="b">
        <v>1</v>
      </c>
      <c r="C48" s="4">
        <v>1997.6318515763301</v>
      </c>
      <c r="D48" s="5">
        <v>1995</v>
      </c>
      <c r="E48" s="4">
        <v>2010</v>
      </c>
      <c r="F48" s="5" t="s">
        <v>206</v>
      </c>
    </row>
    <row r="49" spans="1:6" x14ac:dyDescent="0.25">
      <c r="A49" s="4" t="s">
        <v>174</v>
      </c>
      <c r="B49" s="5" t="b">
        <v>1</v>
      </c>
      <c r="C49" s="4">
        <v>1</v>
      </c>
      <c r="D49" s="5">
        <v>0</v>
      </c>
      <c r="E49" s="4">
        <v>1</v>
      </c>
      <c r="F49" s="5" t="s">
        <v>207</v>
      </c>
    </row>
    <row r="50" spans="1:6" x14ac:dyDescent="0.25">
      <c r="A50" s="4" t="s">
        <v>175</v>
      </c>
      <c r="B50" s="5" t="b">
        <v>1</v>
      </c>
      <c r="C50" s="4">
        <v>2005.84262475946</v>
      </c>
      <c r="D50" s="5">
        <v>1995</v>
      </c>
      <c r="E50" s="4">
        <v>2012</v>
      </c>
      <c r="F50" s="5" t="s">
        <v>208</v>
      </c>
    </row>
    <row r="51" spans="1:6" x14ac:dyDescent="0.25">
      <c r="A51" s="4"/>
      <c r="B51" s="5" t="s">
        <v>12</v>
      </c>
      <c r="C51" s="4"/>
      <c r="D51" s="5"/>
      <c r="E51" s="4"/>
      <c r="F51" s="5"/>
    </row>
    <row r="52" spans="1:6" x14ac:dyDescent="0.25">
      <c r="A52" s="4"/>
      <c r="B52" s="5" t="s">
        <v>12</v>
      </c>
      <c r="C52" s="4"/>
      <c r="D52" s="5"/>
      <c r="E52" s="4"/>
      <c r="F52" s="5"/>
    </row>
    <row r="53" spans="1:6" x14ac:dyDescent="0.25">
      <c r="A53" s="4"/>
      <c r="B53" s="5" t="s">
        <v>12</v>
      </c>
      <c r="C53" s="4"/>
      <c r="D53" s="5"/>
      <c r="E53" s="4"/>
      <c r="F53" s="5"/>
    </row>
    <row r="54" spans="1:6" x14ac:dyDescent="0.25">
      <c r="A54" s="4"/>
      <c r="B54" s="5" t="s">
        <v>12</v>
      </c>
      <c r="C54" s="4"/>
      <c r="D54" s="5"/>
      <c r="E54" s="4"/>
      <c r="F54" s="5"/>
    </row>
    <row r="55" spans="1:6" x14ac:dyDescent="0.25">
      <c r="A55" s="4"/>
      <c r="B55" s="5" t="s">
        <v>12</v>
      </c>
      <c r="C55" s="4"/>
      <c r="D55" s="5"/>
      <c r="E55" s="4"/>
      <c r="F55" s="5"/>
    </row>
    <row r="56" spans="1:6" x14ac:dyDescent="0.25">
      <c r="A56" s="4"/>
      <c r="B56" s="5" t="s">
        <v>12</v>
      </c>
      <c r="C56" s="4"/>
      <c r="D56" s="5"/>
      <c r="E56" s="4"/>
      <c r="F56" s="5"/>
    </row>
    <row r="57" spans="1:6" x14ac:dyDescent="0.25">
      <c r="A57" s="4"/>
      <c r="B57" s="5" t="s">
        <v>12</v>
      </c>
      <c r="C57" s="4"/>
      <c r="D57" s="5"/>
      <c r="E57" s="4"/>
      <c r="F57" s="5"/>
    </row>
    <row r="58" spans="1:6" x14ac:dyDescent="0.25">
      <c r="A58" s="4"/>
      <c r="B58" s="5" t="s">
        <v>12</v>
      </c>
      <c r="C58" s="4"/>
      <c r="D58" s="5"/>
      <c r="E58" s="4"/>
      <c r="F58" s="5"/>
    </row>
    <row r="59" spans="1:6" x14ac:dyDescent="0.25">
      <c r="A59" s="4"/>
      <c r="B59" s="5" t="s">
        <v>12</v>
      </c>
      <c r="C59" s="4"/>
      <c r="D59" s="5"/>
      <c r="E59" s="4"/>
      <c r="F59" s="5"/>
    </row>
    <row r="60" spans="1:6" x14ac:dyDescent="0.25">
      <c r="A60" s="4"/>
      <c r="B60" s="5" t="s">
        <v>12</v>
      </c>
      <c r="C60" s="4"/>
      <c r="D60" s="5"/>
      <c r="E60" s="4"/>
      <c r="F60" s="5"/>
    </row>
    <row r="61" spans="1:6" x14ac:dyDescent="0.25">
      <c r="A61" s="4"/>
      <c r="B61" s="5" t="s">
        <v>12</v>
      </c>
      <c r="C61" s="4"/>
      <c r="D61" s="5"/>
      <c r="E61" s="4"/>
      <c r="F61" s="5"/>
    </row>
    <row r="62" spans="1:6" x14ac:dyDescent="0.25">
      <c r="A62" s="4"/>
      <c r="B62" s="5" t="s">
        <v>12</v>
      </c>
      <c r="C62" s="4"/>
      <c r="D62" s="5"/>
      <c r="E62" s="4"/>
      <c r="F62" s="5"/>
    </row>
    <row r="63" spans="1:6" x14ac:dyDescent="0.25">
      <c r="A63" s="4"/>
      <c r="B63" s="5" t="s">
        <v>12</v>
      </c>
      <c r="C63" s="4"/>
      <c r="D63" s="5"/>
      <c r="E63" s="4"/>
      <c r="F63" s="5"/>
    </row>
    <row r="64" spans="1: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topLeftCell="A7" workbookViewId="0">
      <selection activeCell="A8" sqref="A8"/>
    </sheetView>
  </sheetViews>
  <sheetFormatPr defaultRowHeight="15" x14ac:dyDescent="0.25"/>
  <cols>
    <col min="1" max="1" width="18.42578125" customWidth="1"/>
    <col min="3" max="3" width="8.570312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110</v>
      </c>
      <c r="B8" s="35" t="s">
        <v>148</v>
      </c>
      <c r="C8" s="34" t="s">
        <v>85</v>
      </c>
      <c r="D8" s="35"/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6" t="s">
        <v>96</v>
      </c>
      <c r="B10" s="37" t="s">
        <v>95</v>
      </c>
      <c r="C10" s="36" t="s">
        <v>95</v>
      </c>
      <c r="D10" s="37" t="s">
        <v>12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11" sqref="E11"/>
    </sheetView>
  </sheetViews>
  <sheetFormatPr defaultRowHeight="15" x14ac:dyDescent="0.25"/>
  <cols>
    <col min="1" max="1" width="14.42578125" customWidth="1"/>
    <col min="2" max="2" width="10.570312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570312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110</v>
      </c>
      <c r="B7" s="6" t="s">
        <v>71</v>
      </c>
      <c r="C7" s="6" t="s">
        <v>69</v>
      </c>
      <c r="D7" s="6" t="s">
        <v>77</v>
      </c>
      <c r="E7" s="6">
        <v>0.4</v>
      </c>
      <c r="F7" s="6"/>
      <c r="H7" s="42"/>
    </row>
    <row r="8" spans="1:8" x14ac:dyDescent="0.25">
      <c r="A8" s="7" t="s">
        <v>85</v>
      </c>
      <c r="B8" s="7" t="s">
        <v>70</v>
      </c>
      <c r="C8" s="7" t="s">
        <v>69</v>
      </c>
      <c r="D8" s="7" t="s">
        <v>77</v>
      </c>
      <c r="E8" s="7">
        <v>0.2</v>
      </c>
      <c r="F8" s="7"/>
    </row>
    <row r="9" spans="1:8" x14ac:dyDescent="0.25">
      <c r="A9" s="6" t="s">
        <v>148</v>
      </c>
      <c r="B9" s="6" t="s">
        <v>70</v>
      </c>
      <c r="C9" s="6" t="s">
        <v>69</v>
      </c>
      <c r="D9" s="6" t="s">
        <v>77</v>
      </c>
      <c r="E9" s="6">
        <v>0.4</v>
      </c>
      <c r="F9" s="6"/>
    </row>
    <row r="10" spans="1:8" x14ac:dyDescent="0.25">
      <c r="A10" s="7"/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425781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1008"/>
  <sheetViews>
    <sheetView topLeftCell="A82" workbookViewId="0">
      <selection activeCell="I109" sqref="I109"/>
    </sheetView>
  </sheetViews>
  <sheetFormatPr defaultColWidth="8.5703125" defaultRowHeight="15" x14ac:dyDescent="0.25"/>
  <cols>
    <col min="1" max="1" width="12.85546875" style="41" bestFit="1" customWidth="1"/>
    <col min="2" max="16384" width="8.5703125" style="41"/>
  </cols>
  <sheetData>
    <row r="1" spans="1:12" x14ac:dyDescent="0.25">
      <c r="A1" s="40" t="s">
        <v>111</v>
      </c>
      <c r="B1" s="40" t="s">
        <v>110</v>
      </c>
      <c r="G1" s="42" t="s">
        <v>117</v>
      </c>
    </row>
    <row r="3" spans="1:12" x14ac:dyDescent="0.25">
      <c r="A3" s="42" t="s">
        <v>112</v>
      </c>
    </row>
    <row r="4" spans="1:12" x14ac:dyDescent="0.25">
      <c r="A4" s="43" t="s">
        <v>86</v>
      </c>
      <c r="B4" s="43" t="s">
        <v>118</v>
      </c>
      <c r="C4" s="43" t="s">
        <v>119</v>
      </c>
      <c r="D4" s="43" t="s">
        <v>120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113</v>
      </c>
    </row>
    <row r="6" spans="1:12" x14ac:dyDescent="0.25">
      <c r="A6" s="45" t="s">
        <v>114</v>
      </c>
      <c r="B6" s="44" t="s">
        <v>115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118</v>
      </c>
      <c r="C8" s="40" t="s">
        <v>119</v>
      </c>
      <c r="D8" s="40" t="s">
        <v>120</v>
      </c>
      <c r="E8" s="40" t="s">
        <v>110</v>
      </c>
      <c r="F8" s="40" t="s">
        <v>114</v>
      </c>
      <c r="G8" s="40" t="s">
        <v>115</v>
      </c>
      <c r="J8" s="42" t="s">
        <v>121</v>
      </c>
    </row>
    <row r="9" spans="1:12" x14ac:dyDescent="0.25">
      <c r="A9" s="44">
        <v>2002</v>
      </c>
      <c r="B9" s="44" t="s">
        <v>123</v>
      </c>
      <c r="C9" s="44" t="s">
        <v>44</v>
      </c>
      <c r="D9" s="44" t="s">
        <v>124</v>
      </c>
      <c r="E9" s="44">
        <v>0.04</v>
      </c>
      <c r="F9" s="44"/>
      <c r="G9" s="44">
        <v>206</v>
      </c>
      <c r="J9" s="42" t="s">
        <v>149</v>
      </c>
    </row>
    <row r="10" spans="1:12" x14ac:dyDescent="0.25">
      <c r="A10" s="43">
        <v>2002</v>
      </c>
      <c r="B10" s="43" t="s">
        <v>123</v>
      </c>
      <c r="C10" s="43" t="s">
        <v>44</v>
      </c>
      <c r="D10" s="43" t="s">
        <v>125</v>
      </c>
      <c r="E10" s="43">
        <v>0.08</v>
      </c>
      <c r="F10" s="43"/>
      <c r="G10" s="43">
        <v>163</v>
      </c>
    </row>
    <row r="11" spans="1:12" x14ac:dyDescent="0.25">
      <c r="A11" s="44">
        <v>2002</v>
      </c>
      <c r="B11" s="44" t="s">
        <v>123</v>
      </c>
      <c r="C11" s="44" t="s">
        <v>44</v>
      </c>
      <c r="D11" s="44" t="s">
        <v>126</v>
      </c>
      <c r="E11" s="44">
        <v>0.22</v>
      </c>
      <c r="F11" s="44"/>
      <c r="G11" s="44">
        <v>85</v>
      </c>
    </row>
    <row r="12" spans="1:12" x14ac:dyDescent="0.25">
      <c r="A12" s="43">
        <v>2002</v>
      </c>
      <c r="B12" s="43" t="s">
        <v>123</v>
      </c>
      <c r="C12" s="43" t="s">
        <v>44</v>
      </c>
      <c r="D12" s="43" t="s">
        <v>127</v>
      </c>
      <c r="E12" s="43">
        <v>0.24</v>
      </c>
      <c r="F12" s="43"/>
      <c r="G12" s="43">
        <v>101</v>
      </c>
    </row>
    <row r="13" spans="1:12" x14ac:dyDescent="0.25">
      <c r="A13" s="44">
        <v>2002</v>
      </c>
      <c r="B13" s="44" t="s">
        <v>123</v>
      </c>
      <c r="C13" s="44" t="s">
        <v>44</v>
      </c>
      <c r="D13" s="44" t="s">
        <v>128</v>
      </c>
      <c r="E13" s="44">
        <v>0.18</v>
      </c>
      <c r="F13" s="44"/>
      <c r="G13" s="44">
        <v>82</v>
      </c>
    </row>
    <row r="14" spans="1:12" x14ac:dyDescent="0.25">
      <c r="A14" s="43">
        <v>2002</v>
      </c>
      <c r="B14" s="43" t="s">
        <v>123</v>
      </c>
      <c r="C14" s="43" t="s">
        <v>44</v>
      </c>
      <c r="D14" s="43" t="s">
        <v>129</v>
      </c>
      <c r="E14" s="43">
        <v>0.12</v>
      </c>
      <c r="F14" s="43"/>
      <c r="G14" s="43">
        <v>100</v>
      </c>
    </row>
    <row r="15" spans="1:12" x14ac:dyDescent="0.25">
      <c r="A15" s="44">
        <v>2002</v>
      </c>
      <c r="B15" s="44" t="s">
        <v>123</v>
      </c>
      <c r="C15" s="44" t="s">
        <v>44</v>
      </c>
      <c r="D15" s="44" t="s">
        <v>130</v>
      </c>
      <c r="E15" s="44">
        <v>0.12</v>
      </c>
      <c r="F15" s="44"/>
      <c r="G15" s="44">
        <v>96</v>
      </c>
    </row>
    <row r="16" spans="1:12" x14ac:dyDescent="0.25">
      <c r="A16" s="43">
        <v>2002</v>
      </c>
      <c r="B16" s="43" t="s">
        <v>123</v>
      </c>
      <c r="C16" s="43" t="s">
        <v>44</v>
      </c>
      <c r="D16" s="43" t="s">
        <v>131</v>
      </c>
      <c r="E16" s="43">
        <v>0.05</v>
      </c>
      <c r="F16" s="43"/>
      <c r="G16" s="43">
        <v>104</v>
      </c>
    </row>
    <row r="17" spans="1:7" x14ac:dyDescent="0.25">
      <c r="A17" s="44">
        <v>2002</v>
      </c>
      <c r="B17" s="44" t="s">
        <v>123</v>
      </c>
      <c r="C17" s="44" t="s">
        <v>44</v>
      </c>
      <c r="D17" s="44" t="s">
        <v>136</v>
      </c>
      <c r="E17" s="44">
        <v>7.0000000000000007E-2</v>
      </c>
      <c r="F17" s="44"/>
      <c r="G17" s="44">
        <v>53</v>
      </c>
    </row>
    <row r="18" spans="1:7" x14ac:dyDescent="0.25">
      <c r="A18" s="43">
        <v>2002</v>
      </c>
      <c r="B18" s="43" t="s">
        <v>123</v>
      </c>
      <c r="C18" s="43" t="s">
        <v>43</v>
      </c>
      <c r="D18" s="43" t="s">
        <v>124</v>
      </c>
      <c r="E18" s="43">
        <v>7.0000000000000007E-2</v>
      </c>
      <c r="F18" s="43"/>
      <c r="G18" s="43">
        <v>210</v>
      </c>
    </row>
    <row r="19" spans="1:7" x14ac:dyDescent="0.25">
      <c r="A19" s="44">
        <v>2002</v>
      </c>
      <c r="B19" s="44" t="s">
        <v>123</v>
      </c>
      <c r="C19" s="44" t="s">
        <v>43</v>
      </c>
      <c r="D19" s="44" t="s">
        <v>125</v>
      </c>
      <c r="E19" s="44">
        <v>0.17</v>
      </c>
      <c r="F19" s="44"/>
      <c r="G19" s="44">
        <v>242</v>
      </c>
    </row>
    <row r="20" spans="1:7" x14ac:dyDescent="0.25">
      <c r="A20" s="43">
        <v>2002</v>
      </c>
      <c r="B20" s="43" t="s">
        <v>123</v>
      </c>
      <c r="C20" s="43" t="s">
        <v>43</v>
      </c>
      <c r="D20" s="43" t="s">
        <v>126</v>
      </c>
      <c r="E20" s="43">
        <v>0.32</v>
      </c>
      <c r="F20" s="43"/>
      <c r="G20" s="43">
        <v>143</v>
      </c>
    </row>
    <row r="21" spans="1:7" x14ac:dyDescent="0.25">
      <c r="A21" s="44">
        <v>2002</v>
      </c>
      <c r="B21" s="44" t="s">
        <v>123</v>
      </c>
      <c r="C21" s="44" t="s">
        <v>43</v>
      </c>
      <c r="D21" s="44" t="s">
        <v>127</v>
      </c>
      <c r="E21" s="44">
        <v>0.24</v>
      </c>
      <c r="F21" s="44"/>
      <c r="G21" s="44">
        <v>120</v>
      </c>
    </row>
    <row r="22" spans="1:7" x14ac:dyDescent="0.25">
      <c r="A22" s="43">
        <v>2002</v>
      </c>
      <c r="B22" s="43" t="s">
        <v>123</v>
      </c>
      <c r="C22" s="43" t="s">
        <v>43</v>
      </c>
      <c r="D22" s="43" t="s">
        <v>128</v>
      </c>
      <c r="E22" s="43">
        <v>0.14000000000000001</v>
      </c>
      <c r="F22" s="43"/>
      <c r="G22" s="43">
        <v>118</v>
      </c>
    </row>
    <row r="23" spans="1:7" x14ac:dyDescent="0.25">
      <c r="A23" s="44">
        <v>2002</v>
      </c>
      <c r="B23" s="44" t="s">
        <v>123</v>
      </c>
      <c r="C23" s="44" t="s">
        <v>43</v>
      </c>
      <c r="D23" s="44" t="s">
        <v>129</v>
      </c>
      <c r="E23" s="44">
        <v>0.19</v>
      </c>
      <c r="F23" s="44"/>
      <c r="G23" s="44">
        <v>112</v>
      </c>
    </row>
    <row r="24" spans="1:7" x14ac:dyDescent="0.25">
      <c r="A24" s="43">
        <v>2002</v>
      </c>
      <c r="B24" s="43" t="s">
        <v>123</v>
      </c>
      <c r="C24" s="43" t="s">
        <v>43</v>
      </c>
      <c r="D24" s="43" t="s">
        <v>130</v>
      </c>
      <c r="E24" s="43">
        <v>0.11</v>
      </c>
      <c r="F24" s="43"/>
      <c r="G24" s="43">
        <v>94</v>
      </c>
    </row>
    <row r="25" spans="1:7" x14ac:dyDescent="0.25">
      <c r="A25" s="44">
        <v>2002</v>
      </c>
      <c r="B25" s="44" t="s">
        <v>123</v>
      </c>
      <c r="C25" s="44" t="s">
        <v>43</v>
      </c>
      <c r="D25" s="44" t="s">
        <v>131</v>
      </c>
      <c r="E25" s="44">
        <v>0.08</v>
      </c>
      <c r="F25" s="44"/>
      <c r="G25" s="44">
        <v>95</v>
      </c>
    </row>
    <row r="26" spans="1:7" x14ac:dyDescent="0.25">
      <c r="A26" s="43">
        <v>2002</v>
      </c>
      <c r="B26" s="43" t="s">
        <v>123</v>
      </c>
      <c r="C26" s="43" t="s">
        <v>43</v>
      </c>
      <c r="D26" s="43" t="s">
        <v>136</v>
      </c>
      <c r="E26" s="43">
        <v>7.0000000000000007E-2</v>
      </c>
      <c r="F26" s="43"/>
      <c r="G26" s="43">
        <v>230</v>
      </c>
    </row>
    <row r="27" spans="1:7" x14ac:dyDescent="0.25">
      <c r="A27" s="44">
        <v>2005</v>
      </c>
      <c r="B27" s="44" t="s">
        <v>123</v>
      </c>
      <c r="C27" s="44" t="s">
        <v>44</v>
      </c>
      <c r="D27" s="44" t="s">
        <v>124</v>
      </c>
      <c r="E27" s="44">
        <v>3.2000000000000001E-2</v>
      </c>
      <c r="F27" s="44"/>
      <c r="G27" s="44">
        <v>126</v>
      </c>
    </row>
    <row r="28" spans="1:7" x14ac:dyDescent="0.25">
      <c r="A28" s="43">
        <v>2005</v>
      </c>
      <c r="B28" s="43" t="s">
        <v>123</v>
      </c>
      <c r="C28" s="43" t="s">
        <v>44</v>
      </c>
      <c r="D28" s="43" t="s">
        <v>125</v>
      </c>
      <c r="E28" s="43">
        <v>0.06</v>
      </c>
      <c r="F28" s="43"/>
      <c r="G28" s="43">
        <v>262</v>
      </c>
    </row>
    <row r="29" spans="1:7" x14ac:dyDescent="0.25">
      <c r="A29" s="44">
        <v>2005</v>
      </c>
      <c r="B29" s="44" t="s">
        <v>123</v>
      </c>
      <c r="C29" s="44" t="s">
        <v>44</v>
      </c>
      <c r="D29" s="44" t="s">
        <v>126</v>
      </c>
      <c r="E29" s="44">
        <v>0.121</v>
      </c>
      <c r="F29" s="44"/>
      <c r="G29" s="44">
        <v>162</v>
      </c>
    </row>
    <row r="30" spans="1:7" x14ac:dyDescent="0.25">
      <c r="A30" s="43">
        <v>2005</v>
      </c>
      <c r="B30" s="44" t="s">
        <v>123</v>
      </c>
      <c r="C30" s="43" t="s">
        <v>44</v>
      </c>
      <c r="D30" s="43" t="s">
        <v>127</v>
      </c>
      <c r="E30" s="43">
        <v>0.23300000000000001</v>
      </c>
      <c r="F30" s="43"/>
      <c r="G30" s="43">
        <v>150</v>
      </c>
    </row>
    <row r="31" spans="1:7" x14ac:dyDescent="0.25">
      <c r="A31" s="44">
        <v>2005</v>
      </c>
      <c r="B31" s="43" t="s">
        <v>123</v>
      </c>
      <c r="C31" s="44" t="s">
        <v>44</v>
      </c>
      <c r="D31" s="44" t="s">
        <v>128</v>
      </c>
      <c r="E31" s="44">
        <v>0.23300000000000001</v>
      </c>
      <c r="F31" s="44"/>
      <c r="G31" s="44">
        <v>190</v>
      </c>
    </row>
    <row r="32" spans="1:7" x14ac:dyDescent="0.25">
      <c r="A32" s="43">
        <v>2005</v>
      </c>
      <c r="B32" s="44" t="s">
        <v>123</v>
      </c>
      <c r="C32" s="43" t="s">
        <v>44</v>
      </c>
      <c r="D32" s="43" t="s">
        <v>129</v>
      </c>
      <c r="E32" s="43">
        <v>0.17499999999999999</v>
      </c>
      <c r="F32" s="43"/>
      <c r="G32" s="43">
        <v>135</v>
      </c>
    </row>
    <row r="33" spans="1:7" x14ac:dyDescent="0.25">
      <c r="A33" s="44">
        <v>2005</v>
      </c>
      <c r="B33" s="43" t="s">
        <v>123</v>
      </c>
      <c r="C33" s="44" t="s">
        <v>44</v>
      </c>
      <c r="D33" s="44" t="s">
        <v>130</v>
      </c>
      <c r="E33" s="44">
        <v>0.10299999999999999</v>
      </c>
      <c r="F33" s="44"/>
      <c r="G33" s="44">
        <v>151</v>
      </c>
    </row>
    <row r="34" spans="1:7" x14ac:dyDescent="0.25">
      <c r="A34" s="43">
        <v>2005</v>
      </c>
      <c r="B34" s="44" t="s">
        <v>123</v>
      </c>
      <c r="C34" s="43" t="s">
        <v>44</v>
      </c>
      <c r="D34" s="43" t="s">
        <v>131</v>
      </c>
      <c r="E34" s="43">
        <v>0.14199999999999999</v>
      </c>
      <c r="F34" s="43"/>
      <c r="G34" s="43">
        <v>89</v>
      </c>
    </row>
    <row r="35" spans="1:7" x14ac:dyDescent="0.25">
      <c r="A35" s="44">
        <v>2005</v>
      </c>
      <c r="B35" s="44" t="s">
        <v>123</v>
      </c>
      <c r="C35" s="44" t="s">
        <v>44</v>
      </c>
      <c r="D35" s="44" t="s">
        <v>136</v>
      </c>
      <c r="E35" s="44">
        <v>6.4000000000000001E-2</v>
      </c>
      <c r="F35" s="44"/>
      <c r="G35" s="44">
        <v>24</v>
      </c>
    </row>
    <row r="36" spans="1:7" x14ac:dyDescent="0.25">
      <c r="A36" s="43">
        <v>2005</v>
      </c>
      <c r="B36" s="43" t="s">
        <v>123</v>
      </c>
      <c r="C36" s="43" t="s">
        <v>43</v>
      </c>
      <c r="D36" s="43" t="s">
        <v>124</v>
      </c>
      <c r="E36" s="43">
        <v>9.4E-2</v>
      </c>
      <c r="F36" s="43"/>
      <c r="G36" s="43">
        <v>457</v>
      </c>
    </row>
    <row r="37" spans="1:7" x14ac:dyDescent="0.25">
      <c r="A37" s="44">
        <v>2005</v>
      </c>
      <c r="B37" s="44" t="s">
        <v>123</v>
      </c>
      <c r="C37" s="44" t="s">
        <v>43</v>
      </c>
      <c r="D37" s="44" t="s">
        <v>125</v>
      </c>
      <c r="E37" s="44">
        <v>0.23899999999999999</v>
      </c>
      <c r="F37" s="44"/>
      <c r="G37" s="44">
        <v>377</v>
      </c>
    </row>
    <row r="38" spans="1:7" x14ac:dyDescent="0.25">
      <c r="A38" s="43">
        <v>2005</v>
      </c>
      <c r="B38" s="43" t="s">
        <v>123</v>
      </c>
      <c r="C38" s="43" t="s">
        <v>43</v>
      </c>
      <c r="D38" s="43" t="s">
        <v>126</v>
      </c>
      <c r="E38" s="43">
        <v>0.33300000000000002</v>
      </c>
      <c r="F38" s="43"/>
      <c r="G38" s="43">
        <v>249</v>
      </c>
    </row>
    <row r="39" spans="1:7" x14ac:dyDescent="0.25">
      <c r="A39" s="44">
        <v>2005</v>
      </c>
      <c r="B39" s="44" t="s">
        <v>123</v>
      </c>
      <c r="C39" s="44" t="s">
        <v>43</v>
      </c>
      <c r="D39" s="44" t="s">
        <v>127</v>
      </c>
      <c r="E39" s="44">
        <v>0.26</v>
      </c>
      <c r="F39" s="44"/>
      <c r="G39" s="44">
        <v>334</v>
      </c>
    </row>
    <row r="40" spans="1:7" x14ac:dyDescent="0.25">
      <c r="A40" s="43">
        <v>2005</v>
      </c>
      <c r="B40" s="44" t="s">
        <v>123</v>
      </c>
      <c r="C40" s="43" t="s">
        <v>43</v>
      </c>
      <c r="D40" s="43" t="s">
        <v>128</v>
      </c>
      <c r="E40" s="43">
        <v>0.193</v>
      </c>
      <c r="F40" s="43"/>
      <c r="G40" s="43">
        <v>252</v>
      </c>
    </row>
    <row r="41" spans="1:7" x14ac:dyDescent="0.25">
      <c r="A41" s="44">
        <v>2005</v>
      </c>
      <c r="B41" s="43" t="s">
        <v>123</v>
      </c>
      <c r="C41" s="44" t="s">
        <v>43</v>
      </c>
      <c r="D41" s="44" t="s">
        <v>129</v>
      </c>
      <c r="E41" s="44">
        <v>0.124</v>
      </c>
      <c r="F41" s="44"/>
      <c r="G41" s="44">
        <v>356</v>
      </c>
    </row>
    <row r="42" spans="1:7" x14ac:dyDescent="0.25">
      <c r="A42" s="43">
        <v>2005</v>
      </c>
      <c r="B42" s="44" t="s">
        <v>123</v>
      </c>
      <c r="C42" s="43" t="s">
        <v>43</v>
      </c>
      <c r="D42" s="43" t="s">
        <v>130</v>
      </c>
      <c r="E42" s="43">
        <v>8.6999999999999994E-2</v>
      </c>
      <c r="F42" s="43"/>
      <c r="G42" s="43">
        <v>270</v>
      </c>
    </row>
    <row r="43" spans="1:7" x14ac:dyDescent="0.25">
      <c r="A43" s="44">
        <v>2005</v>
      </c>
      <c r="B43" s="43" t="s">
        <v>123</v>
      </c>
      <c r="C43" s="44" t="s">
        <v>43</v>
      </c>
      <c r="D43" s="44" t="s">
        <v>131</v>
      </c>
      <c r="E43" s="44">
        <v>7.4999999999999997E-2</v>
      </c>
      <c r="F43" s="44"/>
      <c r="G43" s="44">
        <v>259</v>
      </c>
    </row>
    <row r="44" spans="1:7" x14ac:dyDescent="0.25">
      <c r="A44" s="43">
        <v>2005</v>
      </c>
      <c r="B44" s="44" t="s">
        <v>123</v>
      </c>
      <c r="C44" s="43" t="s">
        <v>43</v>
      </c>
      <c r="D44" s="43" t="s">
        <v>136</v>
      </c>
      <c r="E44" s="43">
        <v>0.03</v>
      </c>
      <c r="F44" s="43"/>
      <c r="G44" s="43">
        <v>252</v>
      </c>
    </row>
    <row r="45" spans="1:7" x14ac:dyDescent="0.25">
      <c r="A45" s="44">
        <v>2008</v>
      </c>
      <c r="B45" s="44" t="s">
        <v>123</v>
      </c>
      <c r="C45" s="44" t="s">
        <v>44</v>
      </c>
      <c r="D45" s="44" t="s">
        <v>124</v>
      </c>
      <c r="E45" s="44">
        <v>2.5000000000000001E-2</v>
      </c>
      <c r="F45" s="44"/>
      <c r="G45" s="44">
        <v>71</v>
      </c>
    </row>
    <row r="46" spans="1:7" x14ac:dyDescent="0.25">
      <c r="A46" s="43">
        <v>2008</v>
      </c>
      <c r="B46" s="43" t="s">
        <v>123</v>
      </c>
      <c r="C46" s="43" t="s">
        <v>44</v>
      </c>
      <c r="D46" s="43" t="s">
        <v>125</v>
      </c>
      <c r="E46" s="43">
        <v>5.0999999999999997E-2</v>
      </c>
      <c r="F46" s="43"/>
      <c r="G46" s="43">
        <v>306</v>
      </c>
    </row>
    <row r="47" spans="1:7" x14ac:dyDescent="0.25">
      <c r="A47" s="44">
        <v>2008</v>
      </c>
      <c r="B47" s="44" t="s">
        <v>123</v>
      </c>
      <c r="C47" s="44" t="s">
        <v>44</v>
      </c>
      <c r="D47" s="44" t="s">
        <v>126</v>
      </c>
      <c r="E47" s="44">
        <v>0.157</v>
      </c>
      <c r="F47" s="44"/>
      <c r="G47" s="44">
        <v>188</v>
      </c>
    </row>
    <row r="48" spans="1:7" x14ac:dyDescent="0.25">
      <c r="A48" s="43">
        <v>2008</v>
      </c>
      <c r="B48" s="43" t="s">
        <v>123</v>
      </c>
      <c r="C48" s="43" t="s">
        <v>44</v>
      </c>
      <c r="D48" s="43" t="s">
        <v>127</v>
      </c>
      <c r="E48" s="43">
        <v>0.25800000000000001</v>
      </c>
      <c r="F48" s="43"/>
      <c r="G48" s="43">
        <v>132</v>
      </c>
    </row>
    <row r="49" spans="1:7" x14ac:dyDescent="0.25">
      <c r="A49" s="44">
        <v>2008</v>
      </c>
      <c r="B49" s="44" t="s">
        <v>123</v>
      </c>
      <c r="C49" s="44" t="s">
        <v>44</v>
      </c>
      <c r="D49" s="44" t="s">
        <v>128</v>
      </c>
      <c r="E49" s="44">
        <v>0.185</v>
      </c>
      <c r="F49" s="44"/>
      <c r="G49" s="44">
        <v>122</v>
      </c>
    </row>
    <row r="50" spans="1:7" x14ac:dyDescent="0.25">
      <c r="A50" s="43">
        <v>2008</v>
      </c>
      <c r="B50" s="44" t="s">
        <v>123</v>
      </c>
      <c r="C50" s="43" t="s">
        <v>44</v>
      </c>
      <c r="D50" s="43" t="s">
        <v>129</v>
      </c>
      <c r="E50" s="43">
        <v>0.192</v>
      </c>
      <c r="F50" s="43"/>
      <c r="G50" s="43">
        <v>120</v>
      </c>
    </row>
    <row r="51" spans="1:7" x14ac:dyDescent="0.25">
      <c r="A51" s="44">
        <v>2008</v>
      </c>
      <c r="B51" s="43" t="s">
        <v>123</v>
      </c>
      <c r="C51" s="44" t="s">
        <v>44</v>
      </c>
      <c r="D51" s="44" t="s">
        <v>130</v>
      </c>
      <c r="E51" s="44">
        <v>8.4000000000000005E-2</v>
      </c>
      <c r="F51" s="44"/>
      <c r="G51" s="44">
        <v>165</v>
      </c>
    </row>
    <row r="52" spans="1:7" x14ac:dyDescent="0.25">
      <c r="A52" s="43">
        <v>2008</v>
      </c>
      <c r="B52" s="44" t="s">
        <v>123</v>
      </c>
      <c r="C52" s="43" t="s">
        <v>44</v>
      </c>
      <c r="D52" s="43" t="s">
        <v>131</v>
      </c>
      <c r="E52" s="43">
        <v>0.104</v>
      </c>
      <c r="F52" s="43"/>
      <c r="G52" s="43">
        <v>141</v>
      </c>
    </row>
    <row r="53" spans="1:7" x14ac:dyDescent="0.25">
      <c r="A53" s="44">
        <v>2008</v>
      </c>
      <c r="B53" s="43" t="s">
        <v>123</v>
      </c>
      <c r="C53" s="44" t="s">
        <v>44</v>
      </c>
      <c r="D53" s="44" t="s">
        <v>136</v>
      </c>
      <c r="E53" s="44">
        <v>6.2E-2</v>
      </c>
      <c r="F53" s="44"/>
      <c r="G53" s="44">
        <v>131</v>
      </c>
    </row>
    <row r="54" spans="1:7" x14ac:dyDescent="0.25">
      <c r="A54" s="43">
        <v>2008</v>
      </c>
      <c r="B54" s="44" t="s">
        <v>123</v>
      </c>
      <c r="C54" s="43" t="s">
        <v>43</v>
      </c>
      <c r="D54" s="43" t="s">
        <v>124</v>
      </c>
      <c r="E54" s="43">
        <v>6.7000000000000004E-2</v>
      </c>
      <c r="F54" s="43"/>
      <c r="G54" s="43">
        <v>603</v>
      </c>
    </row>
    <row r="55" spans="1:7" x14ac:dyDescent="0.25">
      <c r="A55" s="44">
        <v>2008</v>
      </c>
      <c r="B55" s="44" t="s">
        <v>123</v>
      </c>
      <c r="C55" s="44" t="s">
        <v>43</v>
      </c>
      <c r="D55" s="44" t="s">
        <v>125</v>
      </c>
      <c r="E55" s="44">
        <v>0.21099999999999999</v>
      </c>
      <c r="F55" s="44"/>
      <c r="G55" s="44">
        <v>451</v>
      </c>
    </row>
    <row r="56" spans="1:7" x14ac:dyDescent="0.25">
      <c r="A56" s="43">
        <v>2008</v>
      </c>
      <c r="B56" s="43" t="s">
        <v>123</v>
      </c>
      <c r="C56" s="43" t="s">
        <v>43</v>
      </c>
      <c r="D56" s="43" t="s">
        <v>126</v>
      </c>
      <c r="E56" s="43">
        <v>0.32700000000000001</v>
      </c>
      <c r="F56" s="43"/>
      <c r="G56" s="43">
        <v>265</v>
      </c>
    </row>
    <row r="57" spans="1:7" x14ac:dyDescent="0.25">
      <c r="A57" s="44">
        <v>2008</v>
      </c>
      <c r="B57" s="44" t="s">
        <v>123</v>
      </c>
      <c r="C57" s="44" t="s">
        <v>43</v>
      </c>
      <c r="D57" s="44" t="s">
        <v>127</v>
      </c>
      <c r="E57" s="44">
        <v>0.29099999999999998</v>
      </c>
      <c r="F57" s="44"/>
      <c r="G57" s="44">
        <v>212</v>
      </c>
    </row>
    <row r="58" spans="1:7" x14ac:dyDescent="0.25">
      <c r="A58" s="43">
        <v>2008</v>
      </c>
      <c r="B58" s="43" t="s">
        <v>123</v>
      </c>
      <c r="C58" s="43" t="s">
        <v>43</v>
      </c>
      <c r="D58" s="43" t="s">
        <v>128</v>
      </c>
      <c r="E58" s="43">
        <v>0.248</v>
      </c>
      <c r="F58" s="43"/>
      <c r="G58" s="43">
        <v>379</v>
      </c>
    </row>
    <row r="59" spans="1:7" x14ac:dyDescent="0.25">
      <c r="A59" s="44">
        <v>2008</v>
      </c>
      <c r="B59" s="44" t="s">
        <v>123</v>
      </c>
      <c r="C59" s="44" t="s">
        <v>43</v>
      </c>
      <c r="D59" s="44" t="s">
        <v>129</v>
      </c>
      <c r="E59" s="44">
        <v>0.16300000000000001</v>
      </c>
      <c r="F59" s="44"/>
      <c r="G59" s="44">
        <v>273</v>
      </c>
    </row>
    <row r="60" spans="1:7" x14ac:dyDescent="0.25">
      <c r="A60" s="43">
        <v>2008</v>
      </c>
      <c r="B60" s="44" t="s">
        <v>123</v>
      </c>
      <c r="C60" s="43" t="s">
        <v>43</v>
      </c>
      <c r="D60" s="43" t="s">
        <v>130</v>
      </c>
      <c r="E60" s="43">
        <v>0.14099999999999999</v>
      </c>
      <c r="F60" s="43"/>
      <c r="G60" s="43">
        <v>191</v>
      </c>
    </row>
    <row r="61" spans="1:7" x14ac:dyDescent="0.25">
      <c r="A61" s="44">
        <v>2008</v>
      </c>
      <c r="B61" s="43" t="s">
        <v>123</v>
      </c>
      <c r="C61" s="44" t="s">
        <v>43</v>
      </c>
      <c r="D61" s="44" t="s">
        <v>131</v>
      </c>
      <c r="E61" s="44">
        <v>0.10199999999999999</v>
      </c>
      <c r="F61" s="44"/>
      <c r="G61" s="44">
        <v>165</v>
      </c>
    </row>
    <row r="62" spans="1:7" x14ac:dyDescent="0.25">
      <c r="A62" s="43">
        <v>2008</v>
      </c>
      <c r="B62" s="44" t="s">
        <v>123</v>
      </c>
      <c r="C62" s="43" t="s">
        <v>43</v>
      </c>
      <c r="D62" s="43" t="s">
        <v>136</v>
      </c>
      <c r="E62" s="43">
        <v>7.6999999999999999E-2</v>
      </c>
      <c r="F62" s="43"/>
      <c r="G62" s="43">
        <v>181</v>
      </c>
    </row>
    <row r="63" spans="1:7" x14ac:dyDescent="0.25">
      <c r="A63" s="44">
        <v>2012</v>
      </c>
      <c r="B63" s="43" t="s">
        <v>123</v>
      </c>
      <c r="C63" s="44" t="s">
        <v>44</v>
      </c>
      <c r="D63" s="44" t="s">
        <v>124</v>
      </c>
      <c r="E63" s="44">
        <v>7.0000000000000001E-3</v>
      </c>
      <c r="F63" s="44"/>
      <c r="G63" s="44">
        <v>1551</v>
      </c>
    </row>
    <row r="64" spans="1:7" x14ac:dyDescent="0.25">
      <c r="A64" s="43">
        <v>2012</v>
      </c>
      <c r="B64" s="44" t="s">
        <v>123</v>
      </c>
      <c r="C64" s="43" t="s">
        <v>44</v>
      </c>
      <c r="D64" s="43" t="s">
        <v>125</v>
      </c>
      <c r="E64" s="43">
        <v>5.0999999999999997E-2</v>
      </c>
      <c r="F64" s="43"/>
      <c r="G64" s="43">
        <v>3409</v>
      </c>
    </row>
    <row r="65" spans="1:7" x14ac:dyDescent="0.25">
      <c r="A65" s="44">
        <v>2012</v>
      </c>
      <c r="B65" s="44" t="s">
        <v>123</v>
      </c>
      <c r="C65" s="44" t="s">
        <v>44</v>
      </c>
      <c r="D65" s="44" t="s">
        <v>126</v>
      </c>
      <c r="E65" s="44">
        <v>0.17299999999999999</v>
      </c>
      <c r="F65" s="44"/>
      <c r="G65" s="44">
        <v>358</v>
      </c>
    </row>
    <row r="66" spans="1:7" x14ac:dyDescent="0.25">
      <c r="A66" s="43">
        <v>2012</v>
      </c>
      <c r="B66" s="43" t="s">
        <v>123</v>
      </c>
      <c r="C66" s="43" t="s">
        <v>44</v>
      </c>
      <c r="D66" s="43" t="s">
        <v>127</v>
      </c>
      <c r="E66" s="43">
        <v>0.25600000000000001</v>
      </c>
      <c r="F66" s="43"/>
      <c r="G66" s="43">
        <v>185</v>
      </c>
    </row>
    <row r="67" spans="1:7" x14ac:dyDescent="0.25">
      <c r="A67" s="44">
        <v>2012</v>
      </c>
      <c r="B67" s="44" t="s">
        <v>123</v>
      </c>
      <c r="C67" s="44" t="s">
        <v>44</v>
      </c>
      <c r="D67" s="44" t="s">
        <v>128</v>
      </c>
      <c r="E67" s="44">
        <v>0.28799999999999998</v>
      </c>
      <c r="F67" s="44"/>
      <c r="G67" s="44">
        <v>186</v>
      </c>
    </row>
    <row r="68" spans="1:7" x14ac:dyDescent="0.25">
      <c r="A68" s="43">
        <v>2012</v>
      </c>
      <c r="B68" s="43" t="s">
        <v>123</v>
      </c>
      <c r="C68" s="43" t="s">
        <v>44</v>
      </c>
      <c r="D68" s="43" t="s">
        <v>129</v>
      </c>
      <c r="E68" s="43">
        <v>0.158</v>
      </c>
      <c r="F68" s="43"/>
      <c r="G68" s="43">
        <v>249</v>
      </c>
    </row>
    <row r="69" spans="1:7" x14ac:dyDescent="0.25">
      <c r="A69" s="44">
        <v>2012</v>
      </c>
      <c r="B69" s="44" t="s">
        <v>123</v>
      </c>
      <c r="C69" s="44" t="s">
        <v>44</v>
      </c>
      <c r="D69" s="44" t="s">
        <v>130</v>
      </c>
      <c r="E69" s="44">
        <v>0.13400000000000001</v>
      </c>
      <c r="F69" s="44"/>
      <c r="G69" s="44">
        <v>194</v>
      </c>
    </row>
    <row r="70" spans="1:7" x14ac:dyDescent="0.25">
      <c r="A70" s="43">
        <v>2012</v>
      </c>
      <c r="B70" s="44" t="s">
        <v>123</v>
      </c>
      <c r="C70" s="43" t="s">
        <v>44</v>
      </c>
      <c r="D70" s="43" t="s">
        <v>131</v>
      </c>
      <c r="E70" s="43">
        <v>0.155</v>
      </c>
      <c r="F70" s="43"/>
      <c r="G70" s="43">
        <v>166</v>
      </c>
    </row>
    <row r="71" spans="1:7" x14ac:dyDescent="0.25">
      <c r="A71" s="44">
        <v>2012</v>
      </c>
      <c r="B71" s="43" t="s">
        <v>123</v>
      </c>
      <c r="C71" s="44" t="s">
        <v>44</v>
      </c>
      <c r="D71" s="44" t="s">
        <v>136</v>
      </c>
      <c r="E71" s="44">
        <v>5.5E-2</v>
      </c>
      <c r="F71" s="44"/>
      <c r="G71" s="44">
        <v>330</v>
      </c>
    </row>
    <row r="72" spans="1:7" x14ac:dyDescent="0.25">
      <c r="A72" s="43">
        <v>2012</v>
      </c>
      <c r="B72" s="44" t="s">
        <v>123</v>
      </c>
      <c r="C72" s="43" t="s">
        <v>43</v>
      </c>
      <c r="D72" s="43" t="s">
        <v>124</v>
      </c>
      <c r="E72" s="43">
        <v>5.6000000000000001E-2</v>
      </c>
      <c r="F72" s="43"/>
      <c r="G72" s="43">
        <v>727</v>
      </c>
    </row>
    <row r="73" spans="1:7" x14ac:dyDescent="0.25">
      <c r="A73" s="44">
        <v>2012</v>
      </c>
      <c r="B73" s="43" t="s">
        <v>123</v>
      </c>
      <c r="C73" s="44" t="s">
        <v>43</v>
      </c>
      <c r="D73" s="44" t="s">
        <v>125</v>
      </c>
      <c r="E73" s="44">
        <v>0.17399999999999999</v>
      </c>
      <c r="F73" s="44"/>
      <c r="G73" s="44">
        <v>611</v>
      </c>
    </row>
    <row r="74" spans="1:7" x14ac:dyDescent="0.25">
      <c r="A74" s="43">
        <v>2012</v>
      </c>
      <c r="B74" s="44" t="s">
        <v>123</v>
      </c>
      <c r="C74" s="43" t="s">
        <v>43</v>
      </c>
      <c r="D74" s="43" t="s">
        <v>126</v>
      </c>
      <c r="E74" s="43">
        <v>0.28399999999999997</v>
      </c>
      <c r="F74" s="43"/>
      <c r="G74" s="43">
        <v>346</v>
      </c>
    </row>
    <row r="75" spans="1:7" x14ac:dyDescent="0.25">
      <c r="A75" s="44">
        <v>2012</v>
      </c>
      <c r="B75" s="44" t="s">
        <v>123</v>
      </c>
      <c r="C75" s="44" t="s">
        <v>43</v>
      </c>
      <c r="D75" s="44" t="s">
        <v>127</v>
      </c>
      <c r="E75" s="44">
        <v>0.36</v>
      </c>
      <c r="F75" s="44"/>
      <c r="G75" s="44">
        <v>321</v>
      </c>
    </row>
    <row r="76" spans="1:7" x14ac:dyDescent="0.25">
      <c r="A76" s="43">
        <v>2012</v>
      </c>
      <c r="B76" s="43" t="s">
        <v>123</v>
      </c>
      <c r="C76" s="43" t="s">
        <v>43</v>
      </c>
      <c r="D76" s="43" t="s">
        <v>128</v>
      </c>
      <c r="E76" s="43">
        <v>0.316</v>
      </c>
      <c r="F76" s="43"/>
      <c r="G76" s="43">
        <v>338</v>
      </c>
    </row>
    <row r="77" spans="1:7" x14ac:dyDescent="0.25">
      <c r="A77" s="44">
        <v>2012</v>
      </c>
      <c r="B77" s="44" t="s">
        <v>123</v>
      </c>
      <c r="C77" s="44" t="s">
        <v>43</v>
      </c>
      <c r="D77" s="44" t="s">
        <v>129</v>
      </c>
      <c r="E77" s="44">
        <v>0.28000000000000003</v>
      </c>
      <c r="F77" s="44"/>
      <c r="G77" s="44">
        <v>251</v>
      </c>
    </row>
    <row r="78" spans="1:7" x14ac:dyDescent="0.25">
      <c r="A78" s="43">
        <v>2012</v>
      </c>
      <c r="B78" s="43" t="s">
        <v>123</v>
      </c>
      <c r="C78" s="43" t="s">
        <v>43</v>
      </c>
      <c r="D78" s="43" t="s">
        <v>130</v>
      </c>
      <c r="E78" s="43">
        <v>0.19700000000000001</v>
      </c>
      <c r="F78" s="43"/>
      <c r="G78" s="43">
        <v>305</v>
      </c>
    </row>
    <row r="79" spans="1:7" x14ac:dyDescent="0.25">
      <c r="A79" s="44">
        <v>2012</v>
      </c>
      <c r="B79" s="44" t="s">
        <v>123</v>
      </c>
      <c r="C79" s="44" t="s">
        <v>43</v>
      </c>
      <c r="D79" s="44" t="s">
        <v>131</v>
      </c>
      <c r="E79" s="44">
        <v>0.14799999999999999</v>
      </c>
      <c r="F79" s="44"/>
      <c r="G79" s="44">
        <v>332</v>
      </c>
    </row>
    <row r="80" spans="1:7" x14ac:dyDescent="0.25">
      <c r="A80" s="43">
        <v>2012</v>
      </c>
      <c r="B80" s="44" t="s">
        <v>123</v>
      </c>
      <c r="C80" s="43" t="s">
        <v>43</v>
      </c>
      <c r="D80" s="43" t="s">
        <v>136</v>
      </c>
      <c r="E80" s="43">
        <v>9.7000000000000003E-2</v>
      </c>
      <c r="F80" s="43"/>
      <c r="G80" s="43">
        <v>332</v>
      </c>
    </row>
    <row r="81" spans="1:7" x14ac:dyDescent="0.25">
      <c r="A81" s="44">
        <v>2017</v>
      </c>
      <c r="B81" s="43" t="s">
        <v>123</v>
      </c>
      <c r="C81" s="44" t="s">
        <v>44</v>
      </c>
      <c r="D81" s="44" t="s">
        <v>124</v>
      </c>
      <c r="E81" s="44">
        <v>4.7E-2</v>
      </c>
      <c r="F81" s="44"/>
      <c r="G81" s="44">
        <v>411</v>
      </c>
    </row>
    <row r="82" spans="1:7" x14ac:dyDescent="0.25">
      <c r="A82" s="43">
        <v>2017</v>
      </c>
      <c r="B82" s="44" t="s">
        <v>123</v>
      </c>
      <c r="C82" s="43" t="s">
        <v>44</v>
      </c>
      <c r="D82" s="43" t="s">
        <v>125</v>
      </c>
      <c r="E82" s="43">
        <v>4.8000000000000001E-2</v>
      </c>
      <c r="F82" s="43"/>
      <c r="G82" s="43">
        <v>587</v>
      </c>
    </row>
    <row r="83" spans="1:7" x14ac:dyDescent="0.25">
      <c r="A83" s="44">
        <v>2017</v>
      </c>
      <c r="B83" s="43" t="s">
        <v>123</v>
      </c>
      <c r="C83" s="44" t="s">
        <v>44</v>
      </c>
      <c r="D83" s="44" t="s">
        <v>126</v>
      </c>
      <c r="E83" s="44">
        <v>0.124</v>
      </c>
      <c r="F83" s="44"/>
      <c r="G83" s="44">
        <v>415</v>
      </c>
    </row>
    <row r="84" spans="1:7" x14ac:dyDescent="0.25">
      <c r="A84" s="43">
        <v>2017</v>
      </c>
      <c r="B84" s="44" t="s">
        <v>123</v>
      </c>
      <c r="C84" s="43" t="s">
        <v>44</v>
      </c>
      <c r="D84" s="43" t="s">
        <v>127</v>
      </c>
      <c r="E84" s="43">
        <v>0.184</v>
      </c>
      <c r="F84" s="43"/>
      <c r="G84" s="43">
        <v>309</v>
      </c>
    </row>
    <row r="85" spans="1:7" x14ac:dyDescent="0.25">
      <c r="A85" s="44">
        <v>2017</v>
      </c>
      <c r="B85" s="44" t="s">
        <v>123</v>
      </c>
      <c r="C85" s="44" t="s">
        <v>44</v>
      </c>
      <c r="D85" s="44" t="s">
        <v>128</v>
      </c>
      <c r="E85" s="44">
        <v>0.23799999999999999</v>
      </c>
      <c r="F85" s="44"/>
      <c r="G85" s="44">
        <v>302</v>
      </c>
    </row>
    <row r="86" spans="1:7" x14ac:dyDescent="0.25">
      <c r="A86" s="43">
        <v>2017</v>
      </c>
      <c r="B86" s="43" t="s">
        <v>123</v>
      </c>
      <c r="C86" s="43" t="s">
        <v>44</v>
      </c>
      <c r="D86" s="43" t="s">
        <v>129</v>
      </c>
      <c r="E86" s="43">
        <v>0.224</v>
      </c>
      <c r="F86" s="43"/>
      <c r="G86" s="43">
        <v>255</v>
      </c>
    </row>
    <row r="87" spans="1:7" x14ac:dyDescent="0.25">
      <c r="A87" s="44">
        <v>2017</v>
      </c>
      <c r="B87" s="44" t="s">
        <v>123</v>
      </c>
      <c r="C87" s="44" t="s">
        <v>44</v>
      </c>
      <c r="D87" s="44" t="s">
        <v>130</v>
      </c>
      <c r="E87" s="44">
        <v>0.248</v>
      </c>
      <c r="F87" s="44"/>
      <c r="G87" s="44">
        <v>163</v>
      </c>
    </row>
    <row r="88" spans="1:7" x14ac:dyDescent="0.25">
      <c r="A88" s="43">
        <v>2017</v>
      </c>
      <c r="B88" s="43" t="s">
        <v>123</v>
      </c>
      <c r="C88" s="43" t="s">
        <v>44</v>
      </c>
      <c r="D88" s="43" t="s">
        <v>131</v>
      </c>
      <c r="E88" s="43">
        <v>0.20200000000000001</v>
      </c>
      <c r="F88" s="43"/>
      <c r="G88" s="43">
        <v>182</v>
      </c>
    </row>
    <row r="89" spans="1:7" x14ac:dyDescent="0.25">
      <c r="A89" s="44">
        <v>2017</v>
      </c>
      <c r="B89" s="44" t="s">
        <v>123</v>
      </c>
      <c r="C89" s="44" t="s">
        <v>44</v>
      </c>
      <c r="D89" s="44" t="s">
        <v>136</v>
      </c>
      <c r="E89" s="44">
        <v>0.14799999999999999</v>
      </c>
      <c r="F89" s="44"/>
      <c r="G89" s="44">
        <v>159</v>
      </c>
    </row>
    <row r="90" spans="1:7" x14ac:dyDescent="0.25">
      <c r="A90" s="43">
        <v>2017</v>
      </c>
      <c r="B90" s="44" t="s">
        <v>123</v>
      </c>
      <c r="C90" s="43" t="s">
        <v>43</v>
      </c>
      <c r="D90" s="43" t="s">
        <v>124</v>
      </c>
      <c r="E90" s="43">
        <v>5.8000000000000003E-2</v>
      </c>
      <c r="F90" s="43"/>
      <c r="G90" s="43">
        <v>864</v>
      </c>
    </row>
    <row r="91" spans="1:7" x14ac:dyDescent="0.25">
      <c r="A91" s="44">
        <v>2017</v>
      </c>
      <c r="B91" s="43" t="s">
        <v>123</v>
      </c>
      <c r="C91" s="44" t="s">
        <v>43</v>
      </c>
      <c r="D91" s="44" t="s">
        <v>125</v>
      </c>
      <c r="E91" s="44">
        <v>0.156</v>
      </c>
      <c r="F91" s="44"/>
      <c r="G91" s="44">
        <v>461</v>
      </c>
    </row>
    <row r="92" spans="1:7" x14ac:dyDescent="0.25">
      <c r="A92" s="43">
        <v>2017</v>
      </c>
      <c r="B92" s="44" t="s">
        <v>123</v>
      </c>
      <c r="C92" s="43" t="s">
        <v>43</v>
      </c>
      <c r="D92" s="43" t="s">
        <v>126</v>
      </c>
      <c r="E92" s="43">
        <v>0.27500000000000002</v>
      </c>
      <c r="F92" s="43"/>
      <c r="G92" s="43">
        <v>478</v>
      </c>
    </row>
    <row r="93" spans="1:7" x14ac:dyDescent="0.25">
      <c r="A93" s="44">
        <v>2017</v>
      </c>
      <c r="B93" s="43" t="s">
        <v>123</v>
      </c>
      <c r="C93" s="44" t="s">
        <v>43</v>
      </c>
      <c r="D93" s="44" t="s">
        <v>127</v>
      </c>
      <c r="E93" s="44">
        <v>0.34699999999999998</v>
      </c>
      <c r="F93" s="44"/>
      <c r="G93" s="44">
        <v>412</v>
      </c>
    </row>
    <row r="94" spans="1:7" x14ac:dyDescent="0.25">
      <c r="A94" s="43">
        <v>2017</v>
      </c>
      <c r="B94" s="44" t="s">
        <v>123</v>
      </c>
      <c r="C94" s="43" t="s">
        <v>43</v>
      </c>
      <c r="D94" s="43" t="s">
        <v>128</v>
      </c>
      <c r="E94" s="43">
        <v>0.39400000000000002</v>
      </c>
      <c r="F94" s="43"/>
      <c r="G94" s="43">
        <v>367</v>
      </c>
    </row>
    <row r="95" spans="1:7" x14ac:dyDescent="0.25">
      <c r="A95" s="44">
        <v>2017</v>
      </c>
      <c r="B95" s="44" t="s">
        <v>123</v>
      </c>
      <c r="C95" s="44" t="s">
        <v>43</v>
      </c>
      <c r="D95" s="44" t="s">
        <v>129</v>
      </c>
      <c r="E95" s="44">
        <v>0.35899999999999999</v>
      </c>
      <c r="F95" s="44"/>
      <c r="G95" s="44">
        <v>457</v>
      </c>
    </row>
    <row r="96" spans="1:7" x14ac:dyDescent="0.25">
      <c r="A96" s="43">
        <v>2017</v>
      </c>
      <c r="B96" s="43" t="s">
        <v>123</v>
      </c>
      <c r="C96" s="43" t="s">
        <v>43</v>
      </c>
      <c r="D96" s="43" t="s">
        <v>130</v>
      </c>
      <c r="E96" s="43">
        <v>0.30299999999999999</v>
      </c>
      <c r="F96" s="43"/>
      <c r="G96" s="43">
        <v>438</v>
      </c>
    </row>
    <row r="97" spans="1:7" x14ac:dyDescent="0.25">
      <c r="A97" s="44">
        <v>2017</v>
      </c>
      <c r="B97" s="44" t="s">
        <v>123</v>
      </c>
      <c r="C97" s="44" t="s">
        <v>43</v>
      </c>
      <c r="D97" s="44" t="s">
        <v>131</v>
      </c>
      <c r="E97" s="44">
        <v>0.222</v>
      </c>
      <c r="F97" s="44"/>
      <c r="G97" s="44">
        <v>218</v>
      </c>
    </row>
    <row r="98" spans="1:7" x14ac:dyDescent="0.25">
      <c r="A98" s="43">
        <v>2017</v>
      </c>
      <c r="B98" s="43" t="s">
        <v>123</v>
      </c>
      <c r="C98" s="43" t="s">
        <v>43</v>
      </c>
      <c r="D98" s="43" t="s">
        <v>136</v>
      </c>
      <c r="E98" s="43">
        <v>0.17599999999999999</v>
      </c>
      <c r="F98" s="43"/>
      <c r="G98" s="43">
        <v>354</v>
      </c>
    </row>
    <row r="99" spans="1:7" x14ac:dyDescent="0.25">
      <c r="A99" s="44">
        <v>2002</v>
      </c>
      <c r="B99" s="44" t="s">
        <v>123</v>
      </c>
      <c r="C99" s="44" t="s">
        <v>44</v>
      </c>
      <c r="D99" s="44" t="s">
        <v>122</v>
      </c>
      <c r="E99" s="44">
        <v>0.128</v>
      </c>
      <c r="F99" s="44"/>
      <c r="G99" s="44">
        <v>662</v>
      </c>
    </row>
    <row r="100" spans="1:7" x14ac:dyDescent="0.25">
      <c r="A100" s="43">
        <v>2002</v>
      </c>
      <c r="B100" s="43" t="s">
        <v>123</v>
      </c>
      <c r="C100" s="43" t="s">
        <v>43</v>
      </c>
      <c r="D100" s="43" t="s">
        <v>122</v>
      </c>
      <c r="E100" s="43">
        <v>0.17699999999999999</v>
      </c>
      <c r="F100" s="43"/>
      <c r="G100" s="43">
        <v>658</v>
      </c>
    </row>
    <row r="101" spans="1:7" x14ac:dyDescent="0.25">
      <c r="A101" s="44">
        <v>2005</v>
      </c>
      <c r="B101" s="44" t="s">
        <v>123</v>
      </c>
      <c r="C101" s="44" t="s">
        <v>44</v>
      </c>
      <c r="D101" s="44" t="s">
        <v>122</v>
      </c>
      <c r="E101" s="44">
        <v>0.11700000000000001</v>
      </c>
      <c r="F101" s="44"/>
      <c r="G101" s="44">
        <v>1221</v>
      </c>
    </row>
    <row r="102" spans="1:7" x14ac:dyDescent="0.25">
      <c r="A102" s="43">
        <v>2005</v>
      </c>
      <c r="B102" s="43" t="s">
        <v>123</v>
      </c>
      <c r="C102" s="43" t="s">
        <v>43</v>
      </c>
      <c r="D102" s="43" t="s">
        <v>122</v>
      </c>
      <c r="E102" s="43">
        <v>0.20200000000000001</v>
      </c>
      <c r="F102" s="43"/>
      <c r="G102" s="43">
        <v>1627</v>
      </c>
    </row>
    <row r="103" spans="1:7" x14ac:dyDescent="0.25">
      <c r="A103" s="44">
        <v>2008</v>
      </c>
      <c r="B103" s="44" t="s">
        <v>123</v>
      </c>
      <c r="C103" s="44" t="s">
        <v>44</v>
      </c>
      <c r="D103" s="44" t="s">
        <v>122</v>
      </c>
      <c r="E103" s="44">
        <v>0.11600000000000001</v>
      </c>
      <c r="F103" s="44"/>
      <c r="G103" s="44">
        <v>1221</v>
      </c>
    </row>
    <row r="104" spans="1:7" x14ac:dyDescent="0.25">
      <c r="A104" s="43">
        <v>2008</v>
      </c>
      <c r="B104" s="43" t="s">
        <v>123</v>
      </c>
      <c r="C104" s="43" t="s">
        <v>43</v>
      </c>
      <c r="D104" s="43" t="s">
        <v>122</v>
      </c>
      <c r="E104" s="43">
        <v>0.21299999999999999</v>
      </c>
      <c r="F104" s="43"/>
      <c r="G104" s="43">
        <v>1627</v>
      </c>
    </row>
    <row r="105" spans="1:7" x14ac:dyDescent="0.25">
      <c r="A105" s="44">
        <v>2012</v>
      </c>
      <c r="B105" s="44" t="s">
        <v>123</v>
      </c>
      <c r="C105" s="44" t="s">
        <v>44</v>
      </c>
      <c r="D105" s="44" t="s">
        <v>122</v>
      </c>
      <c r="E105" s="44">
        <v>0.14499999999999999</v>
      </c>
      <c r="F105" s="44"/>
      <c r="G105" s="44">
        <v>1554</v>
      </c>
    </row>
    <row r="106" spans="1:7" x14ac:dyDescent="0.25">
      <c r="A106" s="43">
        <v>2012</v>
      </c>
      <c r="B106" s="43" t="s">
        <v>123</v>
      </c>
      <c r="C106" s="43" t="s">
        <v>43</v>
      </c>
      <c r="D106" s="43" t="s">
        <v>122</v>
      </c>
      <c r="E106" s="43">
        <v>0.23200000000000001</v>
      </c>
      <c r="F106" s="43"/>
      <c r="G106" s="43">
        <v>1898</v>
      </c>
    </row>
    <row r="107" spans="1:7" x14ac:dyDescent="0.25">
      <c r="A107" s="44">
        <v>2017</v>
      </c>
      <c r="B107" s="44" t="s">
        <v>123</v>
      </c>
      <c r="C107" s="44" t="s">
        <v>44</v>
      </c>
      <c r="D107" s="44" t="s">
        <v>122</v>
      </c>
      <c r="E107" s="44">
        <v>0.14799999999999999</v>
      </c>
      <c r="F107" s="44"/>
      <c r="G107" s="44">
        <v>1885</v>
      </c>
    </row>
    <row r="108" spans="1:7" x14ac:dyDescent="0.25">
      <c r="A108" s="43">
        <v>2017</v>
      </c>
      <c r="B108" s="43" t="s">
        <v>123</v>
      </c>
      <c r="C108" s="43" t="s">
        <v>43</v>
      </c>
      <c r="D108" s="43" t="s">
        <v>122</v>
      </c>
      <c r="E108" s="43">
        <v>0.26300000000000001</v>
      </c>
      <c r="F108" s="43"/>
      <c r="G108" s="43">
        <v>2174</v>
      </c>
    </row>
    <row r="109" spans="1:7" x14ac:dyDescent="0.25">
      <c r="A109" s="44"/>
      <c r="B109" s="44"/>
      <c r="C109" s="44"/>
      <c r="D109" s="44"/>
      <c r="E109" s="44"/>
      <c r="F109" s="44"/>
      <c r="G109" s="44"/>
    </row>
    <row r="110" spans="1:7" x14ac:dyDescent="0.25">
      <c r="A110" s="43"/>
      <c r="B110" s="43"/>
      <c r="C110" s="43"/>
      <c r="D110" s="43"/>
      <c r="E110" s="43"/>
      <c r="F110" s="43"/>
      <c r="G110" s="43"/>
    </row>
    <row r="111" spans="1:7" x14ac:dyDescent="0.25">
      <c r="A111" s="44"/>
      <c r="B111" s="44"/>
      <c r="C111" s="44"/>
      <c r="D111" s="44"/>
      <c r="E111" s="44"/>
      <c r="F111" s="44"/>
      <c r="G111" s="44"/>
    </row>
    <row r="112" spans="1:7" x14ac:dyDescent="0.25">
      <c r="A112" s="43"/>
      <c r="B112" s="43"/>
      <c r="C112" s="43"/>
      <c r="D112" s="43"/>
      <c r="E112" s="43"/>
      <c r="F112" s="43"/>
      <c r="G112" s="43"/>
    </row>
    <row r="113" spans="1:7" x14ac:dyDescent="0.25">
      <c r="A113" s="44"/>
      <c r="B113" s="44"/>
      <c r="C113" s="44"/>
      <c r="D113" s="44"/>
      <c r="E113" s="44"/>
      <c r="F113" s="44"/>
      <c r="G113" s="44"/>
    </row>
    <row r="114" spans="1:7" x14ac:dyDescent="0.25">
      <c r="A114" s="43"/>
      <c r="B114" s="43"/>
      <c r="C114" s="43"/>
      <c r="D114" s="43"/>
      <c r="E114" s="43"/>
      <c r="F114" s="43"/>
      <c r="G114" s="43"/>
    </row>
    <row r="115" spans="1:7" x14ac:dyDescent="0.25">
      <c r="A115" s="44"/>
      <c r="B115" s="44"/>
      <c r="C115" s="44"/>
      <c r="D115" s="44"/>
      <c r="E115" s="44"/>
      <c r="F115" s="44"/>
      <c r="G115" s="44"/>
    </row>
    <row r="116" spans="1:7" x14ac:dyDescent="0.25">
      <c r="A116" s="43"/>
      <c r="B116" s="43"/>
      <c r="C116" s="43"/>
      <c r="D116" s="43"/>
      <c r="E116" s="43"/>
      <c r="F116" s="43"/>
      <c r="G116" s="43"/>
    </row>
    <row r="117" spans="1:7" x14ac:dyDescent="0.25">
      <c r="A117" s="44"/>
      <c r="B117" s="44"/>
      <c r="C117" s="44"/>
      <c r="D117" s="44"/>
      <c r="E117" s="44"/>
      <c r="F117" s="44"/>
      <c r="G117" s="44"/>
    </row>
    <row r="118" spans="1:7" x14ac:dyDescent="0.25">
      <c r="A118" s="43"/>
      <c r="B118" s="43"/>
      <c r="C118" s="43"/>
      <c r="D118" s="43"/>
      <c r="E118" s="43"/>
      <c r="F118" s="43"/>
      <c r="G118" s="43"/>
    </row>
    <row r="119" spans="1:7" x14ac:dyDescent="0.25">
      <c r="A119" s="44"/>
      <c r="B119" s="44"/>
      <c r="C119" s="44"/>
      <c r="D119" s="44"/>
      <c r="E119" s="44"/>
      <c r="F119" s="44"/>
      <c r="G119" s="44"/>
    </row>
    <row r="120" spans="1:7" x14ac:dyDescent="0.25">
      <c r="A120" s="43"/>
      <c r="B120" s="43"/>
      <c r="C120" s="43"/>
      <c r="D120" s="43"/>
      <c r="E120" s="43"/>
      <c r="F120" s="43"/>
      <c r="G120" s="43"/>
    </row>
    <row r="121" spans="1:7" x14ac:dyDescent="0.25">
      <c r="A121" s="44"/>
      <c r="B121" s="44"/>
      <c r="C121" s="44"/>
      <c r="D121" s="44"/>
      <c r="E121" s="44"/>
      <c r="F121" s="44"/>
      <c r="G121" s="44"/>
    </row>
    <row r="122" spans="1:7" x14ac:dyDescent="0.25">
      <c r="A122" s="43"/>
      <c r="B122" s="43"/>
      <c r="C122" s="43"/>
      <c r="D122" s="43"/>
      <c r="E122" s="43"/>
      <c r="F122" s="43"/>
      <c r="G122" s="43"/>
    </row>
    <row r="123" spans="1:7" x14ac:dyDescent="0.25">
      <c r="A123" s="44"/>
      <c r="B123" s="44"/>
      <c r="C123" s="44"/>
      <c r="D123" s="44"/>
      <c r="E123" s="44"/>
      <c r="F123" s="44"/>
      <c r="G123" s="44"/>
    </row>
    <row r="124" spans="1:7" x14ac:dyDescent="0.25">
      <c r="A124" s="43"/>
      <c r="B124" s="43"/>
      <c r="C124" s="43"/>
      <c r="D124" s="43"/>
      <c r="E124" s="43"/>
      <c r="F124" s="43"/>
      <c r="G124" s="43"/>
    </row>
    <row r="125" spans="1:7" x14ac:dyDescent="0.25">
      <c r="A125" s="44"/>
      <c r="B125" s="44"/>
      <c r="C125" s="44"/>
      <c r="D125" s="44"/>
      <c r="E125" s="44"/>
      <c r="F125" s="44"/>
      <c r="G125" s="44"/>
    </row>
    <row r="126" spans="1:7" x14ac:dyDescent="0.25">
      <c r="A126" s="43"/>
      <c r="B126" s="43"/>
      <c r="C126" s="43"/>
      <c r="D126" s="43"/>
      <c r="E126" s="43"/>
      <c r="F126" s="43"/>
      <c r="G126" s="43"/>
    </row>
    <row r="127" spans="1:7" x14ac:dyDescent="0.25">
      <c r="A127" s="44"/>
      <c r="B127" s="44"/>
      <c r="C127" s="44"/>
      <c r="D127" s="44"/>
      <c r="E127" s="44"/>
      <c r="F127" s="44"/>
      <c r="G127" s="44"/>
    </row>
    <row r="128" spans="1:7" x14ac:dyDescent="0.25">
      <c r="A128" s="43"/>
      <c r="B128" s="43"/>
      <c r="C128" s="43"/>
      <c r="D128" s="43"/>
      <c r="E128" s="43"/>
      <c r="F128" s="43"/>
      <c r="G128" s="43"/>
    </row>
    <row r="129" spans="1:7" x14ac:dyDescent="0.25">
      <c r="A129" s="44"/>
      <c r="B129" s="44"/>
      <c r="C129" s="44"/>
      <c r="D129" s="44"/>
      <c r="E129" s="44"/>
      <c r="F129" s="44"/>
      <c r="G129" s="44"/>
    </row>
    <row r="130" spans="1:7" x14ac:dyDescent="0.25">
      <c r="A130" s="43"/>
      <c r="B130" s="43"/>
      <c r="C130" s="43"/>
      <c r="D130" s="43"/>
      <c r="E130" s="43"/>
      <c r="F130" s="43"/>
      <c r="G130" s="43"/>
    </row>
    <row r="131" spans="1:7" x14ac:dyDescent="0.25">
      <c r="A131" s="44"/>
      <c r="B131" s="44"/>
      <c r="C131" s="44"/>
      <c r="D131" s="44"/>
      <c r="E131" s="44"/>
      <c r="F131" s="44"/>
      <c r="G131" s="44"/>
    </row>
    <row r="132" spans="1:7" x14ac:dyDescent="0.25">
      <c r="A132" s="43"/>
      <c r="B132" s="43"/>
      <c r="C132" s="43"/>
      <c r="D132" s="43"/>
      <c r="E132" s="43"/>
      <c r="F132" s="43"/>
      <c r="G132" s="43"/>
    </row>
    <row r="133" spans="1:7" x14ac:dyDescent="0.25">
      <c r="A133" s="44"/>
      <c r="B133" s="44"/>
      <c r="C133" s="44"/>
      <c r="D133" s="44"/>
      <c r="E133" s="44"/>
      <c r="F133" s="44"/>
      <c r="G133" s="44"/>
    </row>
    <row r="134" spans="1:7" x14ac:dyDescent="0.25">
      <c r="A134" s="43"/>
      <c r="B134" s="43"/>
      <c r="C134" s="43"/>
      <c r="D134" s="43"/>
      <c r="E134" s="43"/>
      <c r="F134" s="43"/>
      <c r="G134" s="43"/>
    </row>
    <row r="135" spans="1:7" x14ac:dyDescent="0.25">
      <c r="A135" s="44"/>
      <c r="B135" s="44"/>
      <c r="C135" s="44"/>
      <c r="D135" s="44"/>
      <c r="E135" s="44"/>
      <c r="F135" s="44"/>
      <c r="G135" s="44"/>
    </row>
    <row r="136" spans="1:7" x14ac:dyDescent="0.25">
      <c r="A136" s="43"/>
      <c r="B136" s="43"/>
      <c r="C136" s="43"/>
      <c r="D136" s="43"/>
      <c r="E136" s="43"/>
      <c r="F136" s="43"/>
      <c r="G136" s="43"/>
    </row>
    <row r="137" spans="1:7" x14ac:dyDescent="0.25">
      <c r="A137" s="44"/>
      <c r="B137" s="44"/>
      <c r="C137" s="44"/>
      <c r="D137" s="44"/>
      <c r="E137" s="44"/>
      <c r="F137" s="44"/>
      <c r="G137" s="44"/>
    </row>
    <row r="138" spans="1:7" x14ac:dyDescent="0.25">
      <c r="A138" s="43"/>
      <c r="B138" s="43"/>
      <c r="C138" s="43"/>
      <c r="D138" s="43"/>
      <c r="E138" s="43"/>
      <c r="F138" s="43"/>
      <c r="G138" s="43"/>
    </row>
    <row r="139" spans="1:7" x14ac:dyDescent="0.25">
      <c r="A139" s="44"/>
      <c r="B139" s="44"/>
      <c r="C139" s="44"/>
      <c r="D139" s="44"/>
      <c r="E139" s="44"/>
      <c r="F139" s="44"/>
      <c r="G139" s="44"/>
    </row>
    <row r="140" spans="1:7" x14ac:dyDescent="0.25">
      <c r="A140" s="43"/>
      <c r="B140" s="43"/>
      <c r="C140" s="43"/>
      <c r="D140" s="43"/>
      <c r="E140" s="43"/>
      <c r="F140" s="43"/>
      <c r="G140" s="43"/>
    </row>
    <row r="141" spans="1:7" x14ac:dyDescent="0.25">
      <c r="A141" s="44"/>
      <c r="B141" s="44"/>
      <c r="C141" s="44"/>
      <c r="D141" s="44"/>
      <c r="E141" s="44"/>
      <c r="F141" s="44"/>
      <c r="G141" s="44"/>
    </row>
    <row r="142" spans="1:7" x14ac:dyDescent="0.25">
      <c r="A142" s="43"/>
      <c r="B142" s="43"/>
      <c r="C142" s="43"/>
      <c r="D142" s="43"/>
      <c r="E142" s="43"/>
      <c r="F142" s="43"/>
      <c r="G142" s="43"/>
    </row>
    <row r="143" spans="1:7" x14ac:dyDescent="0.25">
      <c r="A143" s="44"/>
      <c r="B143" s="44"/>
      <c r="C143" s="44"/>
      <c r="D143" s="44"/>
      <c r="E143" s="44"/>
      <c r="F143" s="44"/>
      <c r="G143" s="44"/>
    </row>
    <row r="144" spans="1:7" x14ac:dyDescent="0.25">
      <c r="A144" s="43"/>
      <c r="B144" s="43"/>
      <c r="C144" s="43"/>
      <c r="D144" s="43"/>
      <c r="E144" s="43"/>
      <c r="F144" s="43"/>
      <c r="G144" s="43"/>
    </row>
    <row r="145" spans="1:7" x14ac:dyDescent="0.25">
      <c r="A145" s="44"/>
      <c r="B145" s="44"/>
      <c r="C145" s="44"/>
      <c r="D145" s="44"/>
      <c r="E145" s="44"/>
      <c r="F145" s="44"/>
      <c r="G145" s="44"/>
    </row>
    <row r="146" spans="1:7" x14ac:dyDescent="0.25">
      <c r="A146" s="43"/>
      <c r="B146" s="43"/>
      <c r="C146" s="43"/>
      <c r="D146" s="43"/>
      <c r="E146" s="43"/>
      <c r="F146" s="43"/>
      <c r="G146" s="43"/>
    </row>
    <row r="147" spans="1:7" x14ac:dyDescent="0.25">
      <c r="A147" s="44"/>
      <c r="B147" s="44"/>
      <c r="C147" s="44"/>
      <c r="D147" s="44"/>
      <c r="E147" s="44"/>
      <c r="F147" s="44"/>
      <c r="G147" s="44"/>
    </row>
    <row r="148" spans="1:7" x14ac:dyDescent="0.25">
      <c r="A148" s="43"/>
      <c r="B148" s="43"/>
      <c r="C148" s="43"/>
      <c r="D148" s="43"/>
      <c r="E148" s="43"/>
      <c r="F148" s="43"/>
      <c r="G148" s="43"/>
    </row>
    <row r="149" spans="1:7" x14ac:dyDescent="0.25">
      <c r="A149" s="44"/>
      <c r="B149" s="44"/>
      <c r="C149" s="44"/>
      <c r="D149" s="44"/>
      <c r="E149" s="44"/>
      <c r="F149" s="44"/>
      <c r="G149" s="44"/>
    </row>
    <row r="150" spans="1:7" x14ac:dyDescent="0.25">
      <c r="A150" s="43"/>
      <c r="B150" s="43"/>
      <c r="C150" s="43"/>
      <c r="D150" s="43"/>
      <c r="E150" s="43"/>
      <c r="F150" s="43"/>
      <c r="G150" s="43"/>
    </row>
    <row r="151" spans="1:7" x14ac:dyDescent="0.25">
      <c r="A151" s="44"/>
      <c r="B151" s="44"/>
      <c r="C151" s="44"/>
      <c r="D151" s="44"/>
      <c r="E151" s="44"/>
      <c r="F151" s="44"/>
      <c r="G151" s="44"/>
    </row>
    <row r="152" spans="1:7" x14ac:dyDescent="0.25">
      <c r="A152" s="43"/>
      <c r="B152" s="43"/>
      <c r="C152" s="43"/>
      <c r="D152" s="43"/>
      <c r="E152" s="43"/>
      <c r="F152" s="43"/>
      <c r="G152" s="43"/>
    </row>
    <row r="153" spans="1:7" x14ac:dyDescent="0.25">
      <c r="A153" s="44"/>
      <c r="B153" s="44"/>
      <c r="C153" s="44"/>
      <c r="D153" s="44"/>
      <c r="E153" s="44"/>
      <c r="F153" s="44"/>
      <c r="G153" s="44"/>
    </row>
    <row r="154" spans="1:7" x14ac:dyDescent="0.25">
      <c r="A154" s="43"/>
      <c r="B154" s="43"/>
      <c r="C154" s="43"/>
      <c r="D154" s="43"/>
      <c r="E154" s="43"/>
      <c r="F154" s="43"/>
      <c r="G154" s="43"/>
    </row>
    <row r="155" spans="1:7" x14ac:dyDescent="0.25">
      <c r="A155" s="44"/>
      <c r="B155" s="44"/>
      <c r="C155" s="44"/>
      <c r="D155" s="44"/>
      <c r="E155" s="44"/>
      <c r="F155" s="44"/>
      <c r="G155" s="44"/>
    </row>
    <row r="156" spans="1:7" x14ac:dyDescent="0.25">
      <c r="A156" s="43"/>
      <c r="B156" s="43"/>
      <c r="C156" s="43"/>
      <c r="D156" s="43"/>
      <c r="E156" s="43"/>
      <c r="F156" s="43"/>
      <c r="G156" s="43"/>
    </row>
    <row r="157" spans="1:7" x14ac:dyDescent="0.25">
      <c r="A157" s="44"/>
      <c r="B157" s="44"/>
      <c r="C157" s="44"/>
      <c r="D157" s="44"/>
      <c r="E157" s="44"/>
      <c r="F157" s="44"/>
      <c r="G157" s="44"/>
    </row>
    <row r="158" spans="1:7" x14ac:dyDescent="0.25">
      <c r="A158" s="43"/>
      <c r="B158" s="43"/>
      <c r="C158" s="43"/>
      <c r="D158" s="43"/>
      <c r="E158" s="43"/>
      <c r="F158" s="43"/>
      <c r="G158" s="43"/>
    </row>
    <row r="159" spans="1:7" x14ac:dyDescent="0.25">
      <c r="A159" s="44"/>
      <c r="B159" s="44"/>
      <c r="C159" s="44"/>
      <c r="D159" s="44"/>
      <c r="E159" s="44"/>
      <c r="F159" s="44"/>
      <c r="G159" s="44"/>
    </row>
    <row r="160" spans="1:7" x14ac:dyDescent="0.25">
      <c r="A160" s="43"/>
      <c r="B160" s="43"/>
      <c r="C160" s="43"/>
      <c r="D160" s="43"/>
      <c r="E160" s="43"/>
      <c r="F160" s="43"/>
      <c r="G160" s="43"/>
    </row>
    <row r="161" spans="1:7" x14ac:dyDescent="0.25">
      <c r="A161" s="44"/>
      <c r="B161" s="44"/>
      <c r="C161" s="44"/>
      <c r="D161" s="44"/>
      <c r="E161" s="44"/>
      <c r="F161" s="44"/>
      <c r="G161" s="44"/>
    </row>
    <row r="162" spans="1:7" x14ac:dyDescent="0.25">
      <c r="A162" s="43"/>
      <c r="B162" s="43"/>
      <c r="C162" s="43"/>
      <c r="D162" s="43"/>
      <c r="E162" s="43"/>
      <c r="F162" s="43"/>
      <c r="G162" s="43"/>
    </row>
    <row r="163" spans="1:7" x14ac:dyDescent="0.25">
      <c r="A163" s="44"/>
      <c r="B163" s="44"/>
      <c r="C163" s="44"/>
      <c r="D163" s="44"/>
      <c r="E163" s="44"/>
      <c r="F163" s="44"/>
      <c r="G163" s="44"/>
    </row>
    <row r="164" spans="1:7" x14ac:dyDescent="0.25">
      <c r="A164" s="43"/>
      <c r="B164" s="43"/>
      <c r="C164" s="43"/>
      <c r="D164" s="43"/>
      <c r="E164" s="43"/>
      <c r="F164" s="43"/>
      <c r="G164" s="43"/>
    </row>
    <row r="165" spans="1:7" x14ac:dyDescent="0.25">
      <c r="A165" s="44"/>
      <c r="B165" s="44"/>
      <c r="C165" s="44"/>
      <c r="D165" s="44"/>
      <c r="E165" s="44"/>
      <c r="F165" s="44"/>
      <c r="G165" s="44"/>
    </row>
    <row r="166" spans="1:7" x14ac:dyDescent="0.25">
      <c r="A166" s="43"/>
      <c r="B166" s="43"/>
      <c r="C166" s="43"/>
      <c r="D166" s="43"/>
      <c r="E166" s="43"/>
      <c r="F166" s="43"/>
      <c r="G166" s="43"/>
    </row>
    <row r="167" spans="1:7" x14ac:dyDescent="0.25">
      <c r="A167" s="44"/>
      <c r="B167" s="44"/>
      <c r="C167" s="44"/>
      <c r="D167" s="44"/>
      <c r="E167" s="44"/>
      <c r="F167" s="44"/>
      <c r="G167" s="44"/>
    </row>
    <row r="168" spans="1:7" x14ac:dyDescent="0.25">
      <c r="A168" s="43"/>
      <c r="B168" s="43"/>
      <c r="C168" s="43"/>
      <c r="D168" s="43"/>
      <c r="E168" s="43"/>
      <c r="F168" s="43"/>
      <c r="G168" s="43"/>
    </row>
    <row r="169" spans="1:7" x14ac:dyDescent="0.25">
      <c r="A169" s="44"/>
      <c r="B169" s="44"/>
      <c r="C169" s="44"/>
      <c r="D169" s="44"/>
      <c r="E169" s="44"/>
      <c r="F169" s="44"/>
      <c r="G169" s="44"/>
    </row>
    <row r="170" spans="1:7" x14ac:dyDescent="0.25">
      <c r="A170" s="43"/>
      <c r="B170" s="43"/>
      <c r="C170" s="43"/>
      <c r="D170" s="43"/>
      <c r="E170" s="43"/>
      <c r="F170" s="43"/>
      <c r="G170" s="43"/>
    </row>
    <row r="171" spans="1:7" x14ac:dyDescent="0.25">
      <c r="A171" s="44"/>
      <c r="B171" s="44"/>
      <c r="C171" s="44"/>
      <c r="D171" s="44"/>
      <c r="E171" s="44"/>
      <c r="F171" s="44"/>
      <c r="G171" s="44"/>
    </row>
    <row r="172" spans="1:7" x14ac:dyDescent="0.25">
      <c r="A172" s="43"/>
      <c r="B172" s="43"/>
      <c r="C172" s="43"/>
      <c r="D172" s="43"/>
      <c r="E172" s="43"/>
      <c r="F172" s="43"/>
      <c r="G172" s="43"/>
    </row>
    <row r="173" spans="1:7" x14ac:dyDescent="0.25">
      <c r="A173" s="44"/>
      <c r="B173" s="44"/>
      <c r="C173" s="44"/>
      <c r="D173" s="44"/>
      <c r="E173" s="44"/>
      <c r="F173" s="44"/>
      <c r="G173" s="44"/>
    </row>
    <row r="174" spans="1:7" x14ac:dyDescent="0.25">
      <c r="A174" s="43"/>
      <c r="B174" s="43"/>
      <c r="C174" s="43"/>
      <c r="D174" s="43"/>
      <c r="E174" s="43"/>
      <c r="F174" s="43"/>
      <c r="G174" s="43"/>
    </row>
    <row r="175" spans="1:7" x14ac:dyDescent="0.25">
      <c r="A175" s="44"/>
      <c r="B175" s="44"/>
      <c r="C175" s="44"/>
      <c r="D175" s="44"/>
      <c r="E175" s="44"/>
      <c r="F175" s="44"/>
      <c r="G175" s="44"/>
    </row>
    <row r="176" spans="1:7" x14ac:dyDescent="0.25">
      <c r="A176" s="43"/>
      <c r="B176" s="43"/>
      <c r="C176" s="43"/>
      <c r="D176" s="43"/>
      <c r="E176" s="43"/>
      <c r="F176" s="43"/>
      <c r="G176" s="43"/>
    </row>
    <row r="177" spans="1:7" x14ac:dyDescent="0.25">
      <c r="A177" s="44"/>
      <c r="B177" s="44"/>
      <c r="C177" s="44"/>
      <c r="D177" s="44"/>
      <c r="E177" s="44"/>
      <c r="F177" s="44"/>
      <c r="G177" s="44"/>
    </row>
    <row r="178" spans="1:7" x14ac:dyDescent="0.25">
      <c r="A178" s="43"/>
      <c r="B178" s="43"/>
      <c r="C178" s="43"/>
      <c r="D178" s="43"/>
      <c r="E178" s="43"/>
      <c r="F178" s="43"/>
      <c r="G178" s="43"/>
    </row>
    <row r="179" spans="1:7" x14ac:dyDescent="0.25">
      <c r="A179" s="44"/>
      <c r="B179" s="44"/>
      <c r="C179" s="44"/>
      <c r="D179" s="44"/>
      <c r="E179" s="44"/>
      <c r="F179" s="44"/>
      <c r="G179" s="44"/>
    </row>
    <row r="180" spans="1:7" x14ac:dyDescent="0.25">
      <c r="A180" s="43"/>
      <c r="B180" s="43"/>
      <c r="C180" s="43"/>
      <c r="D180" s="43"/>
      <c r="E180" s="43"/>
      <c r="F180" s="43"/>
      <c r="G180" s="43"/>
    </row>
    <row r="181" spans="1:7" x14ac:dyDescent="0.25">
      <c r="A181" s="44"/>
      <c r="B181" s="44"/>
      <c r="C181" s="44"/>
      <c r="D181" s="44"/>
      <c r="E181" s="44"/>
      <c r="F181" s="44"/>
      <c r="G181" s="44"/>
    </row>
    <row r="182" spans="1:7" x14ac:dyDescent="0.25">
      <c r="A182" s="43"/>
      <c r="B182" s="43"/>
      <c r="C182" s="43"/>
      <c r="D182" s="43"/>
      <c r="E182" s="43"/>
      <c r="F182" s="43"/>
      <c r="G182" s="43"/>
    </row>
    <row r="183" spans="1:7" x14ac:dyDescent="0.25">
      <c r="A183" s="44"/>
      <c r="B183" s="44"/>
      <c r="C183" s="44"/>
      <c r="D183" s="44"/>
      <c r="E183" s="44"/>
      <c r="F183" s="44"/>
      <c r="G183" s="44"/>
    </row>
    <row r="184" spans="1:7" x14ac:dyDescent="0.25">
      <c r="A184" s="43"/>
      <c r="B184" s="43"/>
      <c r="C184" s="43"/>
      <c r="D184" s="43"/>
      <c r="E184" s="43"/>
      <c r="F184" s="43"/>
      <c r="G184" s="43"/>
    </row>
    <row r="185" spans="1:7" x14ac:dyDescent="0.25">
      <c r="A185" s="44"/>
      <c r="B185" s="44"/>
      <c r="C185" s="44"/>
      <c r="D185" s="44"/>
      <c r="E185" s="44"/>
      <c r="F185" s="44"/>
      <c r="G185" s="44"/>
    </row>
    <row r="186" spans="1:7" x14ac:dyDescent="0.25">
      <c r="A186" s="43"/>
      <c r="B186" s="43"/>
      <c r="C186" s="43"/>
      <c r="D186" s="43"/>
      <c r="E186" s="43"/>
      <c r="F186" s="43"/>
      <c r="G186" s="43"/>
    </row>
    <row r="187" spans="1:7" x14ac:dyDescent="0.25">
      <c r="A187" s="44"/>
      <c r="B187" s="44"/>
      <c r="C187" s="44"/>
      <c r="D187" s="44"/>
      <c r="E187" s="44"/>
      <c r="F187" s="44"/>
      <c r="G187" s="44"/>
    </row>
    <row r="188" spans="1:7" x14ac:dyDescent="0.25">
      <c r="A188" s="43"/>
      <c r="B188" s="43"/>
      <c r="C188" s="43"/>
      <c r="D188" s="43"/>
      <c r="E188" s="43"/>
      <c r="F188" s="43"/>
      <c r="G188" s="43"/>
    </row>
    <row r="189" spans="1:7" x14ac:dyDescent="0.25">
      <c r="A189" s="44"/>
      <c r="B189" s="44"/>
      <c r="C189" s="44"/>
      <c r="D189" s="44"/>
      <c r="E189" s="44"/>
      <c r="F189" s="44"/>
      <c r="G189" s="44"/>
    </row>
    <row r="190" spans="1:7" x14ac:dyDescent="0.25">
      <c r="A190" s="43"/>
      <c r="B190" s="43"/>
      <c r="C190" s="43"/>
      <c r="D190" s="43"/>
      <c r="E190" s="43"/>
      <c r="F190" s="43"/>
      <c r="G190" s="43"/>
    </row>
    <row r="191" spans="1:7" x14ac:dyDescent="0.25">
      <c r="A191" s="44"/>
      <c r="B191" s="44"/>
      <c r="C191" s="44"/>
      <c r="D191" s="44"/>
      <c r="E191" s="44"/>
      <c r="F191" s="44"/>
      <c r="G191" s="44"/>
    </row>
    <row r="192" spans="1:7" x14ac:dyDescent="0.25">
      <c r="A192" s="43"/>
      <c r="B192" s="43"/>
      <c r="C192" s="43"/>
      <c r="D192" s="43"/>
      <c r="E192" s="43"/>
      <c r="F192" s="43"/>
      <c r="G192" s="43"/>
    </row>
    <row r="193" spans="1:7" x14ac:dyDescent="0.25">
      <c r="A193" s="44"/>
      <c r="B193" s="44"/>
      <c r="C193" s="44"/>
      <c r="D193" s="44"/>
      <c r="E193" s="44"/>
      <c r="F193" s="44"/>
      <c r="G193" s="44"/>
    </row>
    <row r="194" spans="1:7" x14ac:dyDescent="0.25">
      <c r="A194" s="43"/>
      <c r="B194" s="43"/>
      <c r="C194" s="43"/>
      <c r="D194" s="43"/>
      <c r="E194" s="43"/>
      <c r="F194" s="43"/>
      <c r="G194" s="43"/>
    </row>
    <row r="195" spans="1:7" x14ac:dyDescent="0.25">
      <c r="A195" s="44"/>
      <c r="B195" s="44"/>
      <c r="C195" s="44"/>
      <c r="D195" s="44"/>
      <c r="E195" s="44"/>
      <c r="F195" s="44"/>
      <c r="G195" s="44"/>
    </row>
    <row r="196" spans="1:7" x14ac:dyDescent="0.25">
      <c r="A196" s="43"/>
      <c r="B196" s="43"/>
      <c r="C196" s="43"/>
      <c r="D196" s="43"/>
      <c r="E196" s="43"/>
      <c r="F196" s="43"/>
      <c r="G196" s="43"/>
    </row>
    <row r="197" spans="1:7" x14ac:dyDescent="0.25">
      <c r="A197" s="44"/>
      <c r="B197" s="44"/>
      <c r="C197" s="44"/>
      <c r="D197" s="44"/>
      <c r="E197" s="44"/>
      <c r="F197" s="44"/>
      <c r="G197" s="44"/>
    </row>
    <row r="198" spans="1:7" x14ac:dyDescent="0.25">
      <c r="A198" s="43"/>
      <c r="B198" s="43"/>
      <c r="C198" s="43"/>
      <c r="D198" s="43"/>
      <c r="E198" s="43"/>
      <c r="F198" s="43"/>
      <c r="G198" s="43"/>
    </row>
    <row r="199" spans="1:7" x14ac:dyDescent="0.25">
      <c r="A199" s="44"/>
      <c r="B199" s="44"/>
      <c r="C199" s="44"/>
      <c r="D199" s="44"/>
      <c r="E199" s="44"/>
      <c r="F199" s="44"/>
      <c r="G199" s="44"/>
    </row>
    <row r="200" spans="1:7" x14ac:dyDescent="0.25">
      <c r="A200" s="43"/>
      <c r="B200" s="43"/>
      <c r="C200" s="43"/>
      <c r="D200" s="43"/>
      <c r="E200" s="43"/>
      <c r="F200" s="43"/>
      <c r="G200" s="43"/>
    </row>
    <row r="201" spans="1:7" x14ac:dyDescent="0.25">
      <c r="A201" s="44"/>
      <c r="B201" s="44"/>
      <c r="C201" s="44"/>
      <c r="D201" s="44"/>
      <c r="E201" s="44"/>
      <c r="F201" s="44"/>
      <c r="G201" s="44"/>
    </row>
    <row r="202" spans="1:7" x14ac:dyDescent="0.25">
      <c r="A202" s="43"/>
      <c r="B202" s="43"/>
      <c r="C202" s="43"/>
      <c r="D202" s="43"/>
      <c r="E202" s="43"/>
      <c r="F202" s="43"/>
      <c r="G202" s="43"/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R1008"/>
  <sheetViews>
    <sheetView tabSelected="1" topLeftCell="A6" workbookViewId="0">
      <selection activeCell="N32" sqref="N32"/>
    </sheetView>
  </sheetViews>
  <sheetFormatPr defaultColWidth="8.5703125" defaultRowHeight="15" x14ac:dyDescent="0.25"/>
  <cols>
    <col min="1" max="1" width="12.85546875" style="41" bestFit="1" customWidth="1"/>
    <col min="2" max="16384" width="8.5703125" style="41"/>
  </cols>
  <sheetData>
    <row r="1" spans="1:18" x14ac:dyDescent="0.25">
      <c r="A1" s="40" t="s">
        <v>111</v>
      </c>
      <c r="B1" s="40" t="s">
        <v>85</v>
      </c>
      <c r="G1" s="42" t="s">
        <v>117</v>
      </c>
    </row>
    <row r="3" spans="1:18" x14ac:dyDescent="0.25">
      <c r="A3" s="42" t="s">
        <v>112</v>
      </c>
    </row>
    <row r="4" spans="1:18" x14ac:dyDescent="0.25">
      <c r="A4" s="43" t="s">
        <v>86</v>
      </c>
      <c r="B4" s="43" t="s">
        <v>118</v>
      </c>
      <c r="C4" s="43" t="s">
        <v>119</v>
      </c>
      <c r="D4" s="43" t="s">
        <v>120</v>
      </c>
      <c r="E4" s="43"/>
      <c r="F4" s="43"/>
      <c r="G4" s="43"/>
      <c r="H4" s="43"/>
      <c r="I4" s="43"/>
      <c r="J4" s="43"/>
      <c r="K4" s="43"/>
      <c r="L4" s="43"/>
    </row>
    <row r="5" spans="1:18" x14ac:dyDescent="0.25">
      <c r="A5" s="42" t="s">
        <v>113</v>
      </c>
    </row>
    <row r="6" spans="1:18" x14ac:dyDescent="0.25">
      <c r="A6" s="45" t="s">
        <v>114</v>
      </c>
      <c r="B6" s="44"/>
      <c r="C6" s="44" t="s">
        <v>116</v>
      </c>
      <c r="D6" s="44"/>
      <c r="E6" s="44"/>
      <c r="F6" s="44"/>
      <c r="G6" s="44"/>
      <c r="H6" s="44"/>
      <c r="I6" s="44"/>
      <c r="J6" s="44"/>
      <c r="K6" s="44"/>
      <c r="L6" s="44"/>
    </row>
    <row r="8" spans="1:18" x14ac:dyDescent="0.25">
      <c r="A8" s="40" t="s">
        <v>86</v>
      </c>
      <c r="B8" s="40" t="s">
        <v>118</v>
      </c>
      <c r="C8" s="40" t="s">
        <v>119</v>
      </c>
      <c r="D8" s="40" t="s">
        <v>120</v>
      </c>
      <c r="E8" s="40" t="s">
        <v>85</v>
      </c>
      <c r="F8" s="40" t="s">
        <v>114</v>
      </c>
      <c r="G8" s="40" t="s">
        <v>116</v>
      </c>
      <c r="J8" s="42" t="s">
        <v>121</v>
      </c>
      <c r="Q8" s="41">
        <v>2634839</v>
      </c>
      <c r="R8" s="41">
        <f>Q8*0.2</f>
        <v>526967.80000000005</v>
      </c>
    </row>
    <row r="9" spans="1:18" x14ac:dyDescent="0.25">
      <c r="A9" s="44">
        <v>2002</v>
      </c>
      <c r="B9" s="44" t="s">
        <v>123</v>
      </c>
      <c r="C9" s="44" t="s">
        <v>44</v>
      </c>
      <c r="D9" s="44" t="s">
        <v>209</v>
      </c>
      <c r="E9" s="44">
        <v>2634839</v>
      </c>
      <c r="F9" s="44"/>
      <c r="G9" s="44">
        <v>526967.80000000005</v>
      </c>
      <c r="J9" s="42" t="s">
        <v>149</v>
      </c>
      <c r="Q9" s="41">
        <v>2559246</v>
      </c>
      <c r="R9" s="41">
        <f t="shared" ref="R9:R72" si="0">Q9*0.2</f>
        <v>511849.2</v>
      </c>
    </row>
    <row r="10" spans="1:18" x14ac:dyDescent="0.25">
      <c r="A10" s="43">
        <v>2002</v>
      </c>
      <c r="B10" s="43" t="s">
        <v>123</v>
      </c>
      <c r="C10" s="43" t="s">
        <v>44</v>
      </c>
      <c r="D10" s="43" t="s">
        <v>134</v>
      </c>
      <c r="E10" s="43">
        <v>2559246</v>
      </c>
      <c r="F10" s="43"/>
      <c r="G10" s="43">
        <v>511849.2</v>
      </c>
      <c r="Q10" s="41">
        <v>2582620</v>
      </c>
      <c r="R10" s="41">
        <f t="shared" si="0"/>
        <v>516524</v>
      </c>
    </row>
    <row r="11" spans="1:18" x14ac:dyDescent="0.25">
      <c r="A11" s="44">
        <v>2002</v>
      </c>
      <c r="B11" s="44" t="s">
        <v>123</v>
      </c>
      <c r="C11" s="44" t="s">
        <v>44</v>
      </c>
      <c r="D11" s="44" t="s">
        <v>135</v>
      </c>
      <c r="E11" s="44">
        <v>2582620</v>
      </c>
      <c r="F11" s="44"/>
      <c r="G11" s="44">
        <v>516524</v>
      </c>
      <c r="Q11" s="41">
        <v>2546968</v>
      </c>
      <c r="R11" s="41">
        <f t="shared" si="0"/>
        <v>509393.60000000003</v>
      </c>
    </row>
    <row r="12" spans="1:18" x14ac:dyDescent="0.25">
      <c r="A12" s="43">
        <v>2002</v>
      </c>
      <c r="B12" s="43" t="s">
        <v>123</v>
      </c>
      <c r="C12" s="43" t="s">
        <v>44</v>
      </c>
      <c r="D12" s="43" t="s">
        <v>124</v>
      </c>
      <c r="E12" s="43">
        <v>2546968</v>
      </c>
      <c r="F12" s="43"/>
      <c r="G12" s="43">
        <v>509393.60000000003</v>
      </c>
      <c r="Q12" s="41">
        <v>2348165</v>
      </c>
      <c r="R12" s="41">
        <f t="shared" si="0"/>
        <v>469633</v>
      </c>
    </row>
    <row r="13" spans="1:18" x14ac:dyDescent="0.25">
      <c r="A13" s="44">
        <v>2002</v>
      </c>
      <c r="B13" s="44" t="s">
        <v>123</v>
      </c>
      <c r="C13" s="44" t="s">
        <v>44</v>
      </c>
      <c r="D13" s="44" t="s">
        <v>125</v>
      </c>
      <c r="E13" s="44">
        <v>2348165</v>
      </c>
      <c r="F13" s="44"/>
      <c r="G13" s="44">
        <v>469633</v>
      </c>
      <c r="Q13" s="41">
        <v>2069939</v>
      </c>
      <c r="R13" s="41">
        <f t="shared" si="0"/>
        <v>413987.80000000005</v>
      </c>
    </row>
    <row r="14" spans="1:18" x14ac:dyDescent="0.25">
      <c r="A14" s="43">
        <v>2002</v>
      </c>
      <c r="B14" s="43" t="s">
        <v>123</v>
      </c>
      <c r="C14" s="43" t="s">
        <v>44</v>
      </c>
      <c r="D14" s="43" t="s">
        <v>126</v>
      </c>
      <c r="E14" s="43">
        <v>2069939</v>
      </c>
      <c r="F14" s="43"/>
      <c r="G14" s="43">
        <v>413987.80000000005</v>
      </c>
      <c r="Q14" s="41">
        <v>1759391</v>
      </c>
      <c r="R14" s="41">
        <f t="shared" si="0"/>
        <v>351878.2</v>
      </c>
    </row>
    <row r="15" spans="1:18" x14ac:dyDescent="0.25">
      <c r="A15" s="44">
        <v>2002</v>
      </c>
      <c r="B15" s="44" t="s">
        <v>123</v>
      </c>
      <c r="C15" s="44" t="s">
        <v>44</v>
      </c>
      <c r="D15" s="44" t="s">
        <v>127</v>
      </c>
      <c r="E15" s="44">
        <v>1759391</v>
      </c>
      <c r="F15" s="44"/>
      <c r="G15" s="44">
        <v>351878.2</v>
      </c>
      <c r="Q15" s="41">
        <v>1488894</v>
      </c>
      <c r="R15" s="41">
        <f t="shared" si="0"/>
        <v>297778.8</v>
      </c>
    </row>
    <row r="16" spans="1:18" x14ac:dyDescent="0.25">
      <c r="A16" s="43">
        <v>2002</v>
      </c>
      <c r="B16" s="43" t="s">
        <v>123</v>
      </c>
      <c r="C16" s="43" t="s">
        <v>44</v>
      </c>
      <c r="D16" s="43" t="s">
        <v>128</v>
      </c>
      <c r="E16" s="43">
        <v>1488894</v>
      </c>
      <c r="F16" s="43"/>
      <c r="G16" s="43">
        <v>297778.8</v>
      </c>
      <c r="Q16" s="41">
        <v>1270053</v>
      </c>
      <c r="R16" s="41">
        <f t="shared" si="0"/>
        <v>254010.6</v>
      </c>
    </row>
    <row r="17" spans="1:18" x14ac:dyDescent="0.25">
      <c r="A17" s="44">
        <v>2002</v>
      </c>
      <c r="B17" s="44" t="s">
        <v>123</v>
      </c>
      <c r="C17" s="44" t="s">
        <v>44</v>
      </c>
      <c r="D17" s="44" t="s">
        <v>129</v>
      </c>
      <c r="E17" s="44">
        <v>1270053</v>
      </c>
      <c r="F17" s="44"/>
      <c r="G17" s="44">
        <v>254010.6</v>
      </c>
      <c r="Q17" s="41">
        <v>1077752</v>
      </c>
      <c r="R17" s="41">
        <f t="shared" si="0"/>
        <v>215550.40000000002</v>
      </c>
    </row>
    <row r="18" spans="1:18" x14ac:dyDescent="0.25">
      <c r="A18" s="43">
        <v>2002</v>
      </c>
      <c r="B18" s="43" t="s">
        <v>123</v>
      </c>
      <c r="C18" s="43" t="s">
        <v>44</v>
      </c>
      <c r="D18" s="43" t="s">
        <v>130</v>
      </c>
      <c r="E18" s="43">
        <v>1077752</v>
      </c>
      <c r="F18" s="43"/>
      <c r="G18" s="43">
        <v>215550.40000000002</v>
      </c>
      <c r="Q18" s="41">
        <v>831061</v>
      </c>
      <c r="R18" s="41">
        <f t="shared" si="0"/>
        <v>166212.20000000001</v>
      </c>
    </row>
    <row r="19" spans="1:18" x14ac:dyDescent="0.25">
      <c r="A19" s="44">
        <v>2002</v>
      </c>
      <c r="B19" s="44" t="s">
        <v>123</v>
      </c>
      <c r="C19" s="44" t="s">
        <v>44</v>
      </c>
      <c r="D19" s="44" t="s">
        <v>131</v>
      </c>
      <c r="E19" s="44">
        <v>831061</v>
      </c>
      <c r="F19" s="44"/>
      <c r="G19" s="44">
        <v>166212.20000000001</v>
      </c>
      <c r="Q19" s="41">
        <v>636945</v>
      </c>
      <c r="R19" s="41">
        <f t="shared" si="0"/>
        <v>127389</v>
      </c>
    </row>
    <row r="20" spans="1:18" x14ac:dyDescent="0.25">
      <c r="A20" s="43">
        <v>2002</v>
      </c>
      <c r="B20" s="43" t="s">
        <v>123</v>
      </c>
      <c r="C20" s="43" t="s">
        <v>44</v>
      </c>
      <c r="D20" s="43" t="s">
        <v>136</v>
      </c>
      <c r="E20" s="43">
        <v>636945</v>
      </c>
      <c r="F20" s="43"/>
      <c r="G20" s="43">
        <v>127389</v>
      </c>
      <c r="Q20" s="41">
        <v>2587465</v>
      </c>
      <c r="R20" s="41">
        <f t="shared" si="0"/>
        <v>517493</v>
      </c>
    </row>
    <row r="21" spans="1:18" x14ac:dyDescent="0.25">
      <c r="A21" s="44">
        <v>2002</v>
      </c>
      <c r="B21" s="44" t="s">
        <v>123</v>
      </c>
      <c r="C21" s="44" t="s">
        <v>43</v>
      </c>
      <c r="D21" s="44" t="s">
        <v>209</v>
      </c>
      <c r="E21" s="44">
        <v>2587465</v>
      </c>
      <c r="F21" s="44"/>
      <c r="G21" s="44">
        <v>517493</v>
      </c>
      <c r="Q21" s="41">
        <v>2523770</v>
      </c>
      <c r="R21" s="41">
        <f t="shared" si="0"/>
        <v>504754</v>
      </c>
    </row>
    <row r="22" spans="1:18" x14ac:dyDescent="0.25">
      <c r="A22" s="43">
        <v>2002</v>
      </c>
      <c r="B22" s="43" t="s">
        <v>123</v>
      </c>
      <c r="C22" s="43" t="s">
        <v>43</v>
      </c>
      <c r="D22" s="43" t="s">
        <v>134</v>
      </c>
      <c r="E22" s="43">
        <v>2523770</v>
      </c>
      <c r="F22" s="43"/>
      <c r="G22" s="43">
        <v>504754</v>
      </c>
      <c r="Q22" s="41">
        <v>2557891</v>
      </c>
      <c r="R22" s="41">
        <f t="shared" si="0"/>
        <v>511578.2</v>
      </c>
    </row>
    <row r="23" spans="1:18" x14ac:dyDescent="0.25">
      <c r="A23" s="44">
        <v>2002</v>
      </c>
      <c r="B23" s="44" t="s">
        <v>123</v>
      </c>
      <c r="C23" s="44" t="s">
        <v>43</v>
      </c>
      <c r="D23" s="44" t="s">
        <v>135</v>
      </c>
      <c r="E23" s="44">
        <v>2557891</v>
      </c>
      <c r="F23" s="44"/>
      <c r="G23" s="44">
        <v>511578.2</v>
      </c>
      <c r="Q23" s="41">
        <v>2527828</v>
      </c>
      <c r="R23" s="41">
        <f t="shared" si="0"/>
        <v>505565.60000000003</v>
      </c>
    </row>
    <row r="24" spans="1:18" x14ac:dyDescent="0.25">
      <c r="A24" s="43">
        <v>2002</v>
      </c>
      <c r="B24" s="43" t="s">
        <v>123</v>
      </c>
      <c r="C24" s="43" t="s">
        <v>43</v>
      </c>
      <c r="D24" s="43" t="s">
        <v>124</v>
      </c>
      <c r="E24" s="43">
        <v>2527828</v>
      </c>
      <c r="F24" s="43"/>
      <c r="G24" s="43">
        <v>505565.60000000003</v>
      </c>
      <c r="Q24" s="41">
        <v>2323512</v>
      </c>
      <c r="R24" s="41">
        <f t="shared" si="0"/>
        <v>464702.4</v>
      </c>
    </row>
    <row r="25" spans="1:18" x14ac:dyDescent="0.25">
      <c r="A25" s="44">
        <v>2002</v>
      </c>
      <c r="B25" s="44" t="s">
        <v>123</v>
      </c>
      <c r="C25" s="44" t="s">
        <v>43</v>
      </c>
      <c r="D25" s="44" t="s">
        <v>125</v>
      </c>
      <c r="E25" s="44">
        <v>2323512</v>
      </c>
      <c r="F25" s="44"/>
      <c r="G25" s="44">
        <v>464702.4</v>
      </c>
      <c r="Q25" s="41">
        <v>2064262</v>
      </c>
      <c r="R25" s="41">
        <f t="shared" si="0"/>
        <v>412852.4</v>
      </c>
    </row>
    <row r="26" spans="1:18" x14ac:dyDescent="0.25">
      <c r="A26" s="43">
        <v>2002</v>
      </c>
      <c r="B26" s="43" t="s">
        <v>123</v>
      </c>
      <c r="C26" s="43" t="s">
        <v>43</v>
      </c>
      <c r="D26" s="43" t="s">
        <v>126</v>
      </c>
      <c r="E26" s="43">
        <v>2064262</v>
      </c>
      <c r="F26" s="43"/>
      <c r="G26" s="43">
        <v>412852.4</v>
      </c>
      <c r="Q26" s="41">
        <v>1807453</v>
      </c>
      <c r="R26" s="41">
        <f t="shared" si="0"/>
        <v>361490.60000000003</v>
      </c>
    </row>
    <row r="27" spans="1:18" x14ac:dyDescent="0.25">
      <c r="A27" s="44">
        <v>2002</v>
      </c>
      <c r="B27" s="44" t="s">
        <v>123</v>
      </c>
      <c r="C27" s="44" t="s">
        <v>43</v>
      </c>
      <c r="D27" s="44" t="s">
        <v>127</v>
      </c>
      <c r="E27" s="44">
        <v>1807453</v>
      </c>
      <c r="F27" s="44"/>
      <c r="G27" s="44">
        <v>361490.60000000003</v>
      </c>
      <c r="Q27" s="41">
        <v>1577255</v>
      </c>
      <c r="R27" s="41">
        <f t="shared" si="0"/>
        <v>315451</v>
      </c>
    </row>
    <row r="28" spans="1:18" x14ac:dyDescent="0.25">
      <c r="A28" s="43">
        <v>2002</v>
      </c>
      <c r="B28" s="43" t="s">
        <v>123</v>
      </c>
      <c r="C28" s="43" t="s">
        <v>43</v>
      </c>
      <c r="D28" s="43" t="s">
        <v>128</v>
      </c>
      <c r="E28" s="43">
        <v>1577255</v>
      </c>
      <c r="F28" s="43"/>
      <c r="G28" s="43">
        <v>315451</v>
      </c>
      <c r="Q28" s="41">
        <v>1370835</v>
      </c>
      <c r="R28" s="41">
        <f t="shared" si="0"/>
        <v>274167</v>
      </c>
    </row>
    <row r="29" spans="1:18" x14ac:dyDescent="0.25">
      <c r="A29" s="44">
        <v>2002</v>
      </c>
      <c r="B29" s="44" t="s">
        <v>123</v>
      </c>
      <c r="C29" s="44" t="s">
        <v>43</v>
      </c>
      <c r="D29" s="44" t="s">
        <v>129</v>
      </c>
      <c r="E29" s="44">
        <v>1370835</v>
      </c>
      <c r="F29" s="44"/>
      <c r="G29" s="44">
        <v>274167</v>
      </c>
      <c r="Q29" s="41">
        <v>1184477</v>
      </c>
      <c r="R29" s="41">
        <f t="shared" si="0"/>
        <v>236895.40000000002</v>
      </c>
    </row>
    <row r="30" spans="1:18" x14ac:dyDescent="0.25">
      <c r="A30" s="43">
        <v>2002</v>
      </c>
      <c r="B30" s="43" t="s">
        <v>123</v>
      </c>
      <c r="C30" s="43" t="s">
        <v>43</v>
      </c>
      <c r="D30" s="43" t="s">
        <v>130</v>
      </c>
      <c r="E30" s="43">
        <v>1184477</v>
      </c>
      <c r="F30" s="43"/>
      <c r="G30" s="43">
        <v>236895.40000000002</v>
      </c>
      <c r="Q30" s="41">
        <v>924873</v>
      </c>
      <c r="R30" s="41">
        <f t="shared" si="0"/>
        <v>184974.6</v>
      </c>
    </row>
    <row r="31" spans="1:18" x14ac:dyDescent="0.25">
      <c r="A31" s="44">
        <v>2002</v>
      </c>
      <c r="B31" s="44" t="s">
        <v>123</v>
      </c>
      <c r="C31" s="44" t="s">
        <v>43</v>
      </c>
      <c r="D31" s="44" t="s">
        <v>131</v>
      </c>
      <c r="E31" s="44">
        <v>924873</v>
      </c>
      <c r="F31" s="44"/>
      <c r="G31" s="44">
        <v>184974.6</v>
      </c>
      <c r="Q31" s="41">
        <v>727478</v>
      </c>
      <c r="R31" s="41">
        <f t="shared" si="0"/>
        <v>145495.6</v>
      </c>
    </row>
    <row r="32" spans="1:18" x14ac:dyDescent="0.25">
      <c r="A32" s="43">
        <v>2002</v>
      </c>
      <c r="B32" s="43" t="s">
        <v>123</v>
      </c>
      <c r="C32" s="43" t="s">
        <v>43</v>
      </c>
      <c r="D32" s="43" t="s">
        <v>136</v>
      </c>
      <c r="E32" s="43">
        <v>727478</v>
      </c>
      <c r="F32" s="43"/>
      <c r="G32" s="43">
        <v>145495.6</v>
      </c>
      <c r="Q32" s="41">
        <v>2651819</v>
      </c>
      <c r="R32" s="41">
        <f t="shared" si="0"/>
        <v>530363.80000000005</v>
      </c>
    </row>
    <row r="33" spans="1:18" x14ac:dyDescent="0.25">
      <c r="A33" s="44">
        <v>2005</v>
      </c>
      <c r="B33" s="44" t="s">
        <v>123</v>
      </c>
      <c r="C33" s="44" t="s">
        <v>44</v>
      </c>
      <c r="D33" s="44" t="s">
        <v>209</v>
      </c>
      <c r="E33" s="44">
        <v>2651819</v>
      </c>
      <c r="F33" s="44"/>
      <c r="G33" s="44">
        <v>530363.80000000005</v>
      </c>
      <c r="Q33" s="41">
        <v>2570683</v>
      </c>
      <c r="R33" s="41">
        <f t="shared" si="0"/>
        <v>514136.60000000003</v>
      </c>
    </row>
    <row r="34" spans="1:18" x14ac:dyDescent="0.25">
      <c r="A34" s="43">
        <v>2005</v>
      </c>
      <c r="B34" s="43" t="s">
        <v>123</v>
      </c>
      <c r="C34" s="43" t="s">
        <v>44</v>
      </c>
      <c r="D34" s="43" t="s">
        <v>134</v>
      </c>
      <c r="E34" s="43">
        <v>2570683</v>
      </c>
      <c r="F34" s="43"/>
      <c r="G34" s="43">
        <v>514136.60000000003</v>
      </c>
      <c r="Q34" s="41">
        <v>2565499</v>
      </c>
      <c r="R34" s="41">
        <f t="shared" si="0"/>
        <v>513099.80000000005</v>
      </c>
    </row>
    <row r="35" spans="1:18" x14ac:dyDescent="0.25">
      <c r="A35" s="44">
        <v>2005</v>
      </c>
      <c r="B35" s="44" t="s">
        <v>123</v>
      </c>
      <c r="C35" s="44" t="s">
        <v>44</v>
      </c>
      <c r="D35" s="44" t="s">
        <v>135</v>
      </c>
      <c r="E35" s="44">
        <v>2565499</v>
      </c>
      <c r="F35" s="44"/>
      <c r="G35" s="44">
        <v>513099.80000000005</v>
      </c>
      <c r="Q35" s="41">
        <v>2596517</v>
      </c>
      <c r="R35" s="41">
        <f t="shared" si="0"/>
        <v>519303.4</v>
      </c>
    </row>
    <row r="36" spans="1:18" x14ac:dyDescent="0.25">
      <c r="A36" s="43">
        <v>2005</v>
      </c>
      <c r="B36" s="43" t="s">
        <v>123</v>
      </c>
      <c r="C36" s="43" t="s">
        <v>44</v>
      </c>
      <c r="D36" s="43" t="s">
        <v>124</v>
      </c>
      <c r="E36" s="43">
        <v>2596517</v>
      </c>
      <c r="F36" s="43"/>
      <c r="G36" s="43">
        <v>519303.4</v>
      </c>
      <c r="Q36" s="41">
        <v>2488613</v>
      </c>
      <c r="R36" s="41">
        <f t="shared" si="0"/>
        <v>497722.60000000003</v>
      </c>
    </row>
    <row r="37" spans="1:18" x14ac:dyDescent="0.25">
      <c r="A37" s="44">
        <v>2005</v>
      </c>
      <c r="B37" s="44" t="s">
        <v>123</v>
      </c>
      <c r="C37" s="44" t="s">
        <v>44</v>
      </c>
      <c r="D37" s="44" t="s">
        <v>125</v>
      </c>
      <c r="E37" s="44">
        <v>2488613</v>
      </c>
      <c r="F37" s="44"/>
      <c r="G37" s="44">
        <v>497722.60000000003</v>
      </c>
      <c r="Q37" s="41">
        <v>2215800</v>
      </c>
      <c r="R37" s="41">
        <f t="shared" si="0"/>
        <v>443160</v>
      </c>
    </row>
    <row r="38" spans="1:18" x14ac:dyDescent="0.25">
      <c r="A38" s="43">
        <v>2005</v>
      </c>
      <c r="B38" s="43" t="s">
        <v>123</v>
      </c>
      <c r="C38" s="43" t="s">
        <v>44</v>
      </c>
      <c r="D38" s="43" t="s">
        <v>126</v>
      </c>
      <c r="E38" s="43">
        <v>2215800</v>
      </c>
      <c r="F38" s="43"/>
      <c r="G38" s="43">
        <v>443160</v>
      </c>
      <c r="Q38" s="41">
        <v>1899279</v>
      </c>
      <c r="R38" s="41">
        <f t="shared" si="0"/>
        <v>379855.80000000005</v>
      </c>
    </row>
    <row r="39" spans="1:18" x14ac:dyDescent="0.25">
      <c r="A39" s="44">
        <v>2005</v>
      </c>
      <c r="B39" s="44" t="s">
        <v>123</v>
      </c>
      <c r="C39" s="44" t="s">
        <v>44</v>
      </c>
      <c r="D39" s="44" t="s">
        <v>127</v>
      </c>
      <c r="E39" s="44">
        <v>1899279</v>
      </c>
      <c r="F39" s="44"/>
      <c r="G39" s="44">
        <v>379855.80000000005</v>
      </c>
      <c r="Q39" s="41">
        <v>1568198</v>
      </c>
      <c r="R39" s="41">
        <f t="shared" si="0"/>
        <v>313639.60000000003</v>
      </c>
    </row>
    <row r="40" spans="1:18" x14ac:dyDescent="0.25">
      <c r="A40" s="43">
        <v>2005</v>
      </c>
      <c r="B40" s="43" t="s">
        <v>123</v>
      </c>
      <c r="C40" s="43" t="s">
        <v>44</v>
      </c>
      <c r="D40" s="43" t="s">
        <v>128</v>
      </c>
      <c r="E40" s="43">
        <v>1568198</v>
      </c>
      <c r="F40" s="43"/>
      <c r="G40" s="43">
        <v>313639.60000000003</v>
      </c>
      <c r="Q40" s="41">
        <v>1324166</v>
      </c>
      <c r="R40" s="41">
        <f t="shared" si="0"/>
        <v>264833.2</v>
      </c>
    </row>
    <row r="41" spans="1:18" x14ac:dyDescent="0.25">
      <c r="A41" s="44">
        <v>2005</v>
      </c>
      <c r="B41" s="44" t="s">
        <v>123</v>
      </c>
      <c r="C41" s="44" t="s">
        <v>44</v>
      </c>
      <c r="D41" s="44" t="s">
        <v>129</v>
      </c>
      <c r="E41" s="44">
        <v>1324166</v>
      </c>
      <c r="F41" s="44"/>
      <c r="G41" s="44">
        <v>264833.2</v>
      </c>
      <c r="Q41" s="41">
        <v>1122009</v>
      </c>
      <c r="R41" s="41">
        <f t="shared" si="0"/>
        <v>224401.80000000002</v>
      </c>
    </row>
    <row r="42" spans="1:18" x14ac:dyDescent="0.25">
      <c r="A42" s="43">
        <v>2005</v>
      </c>
      <c r="B42" s="43" t="s">
        <v>123</v>
      </c>
      <c r="C42" s="43" t="s">
        <v>44</v>
      </c>
      <c r="D42" s="43" t="s">
        <v>130</v>
      </c>
      <c r="E42" s="43">
        <v>1122009</v>
      </c>
      <c r="F42" s="43"/>
      <c r="G42" s="43">
        <v>224401.80000000002</v>
      </c>
      <c r="Q42" s="41">
        <v>925655</v>
      </c>
      <c r="R42" s="41">
        <f t="shared" si="0"/>
        <v>185131</v>
      </c>
    </row>
    <row r="43" spans="1:18" x14ac:dyDescent="0.25">
      <c r="A43" s="44">
        <v>2005</v>
      </c>
      <c r="B43" s="44" t="s">
        <v>123</v>
      </c>
      <c r="C43" s="44" t="s">
        <v>44</v>
      </c>
      <c r="D43" s="44" t="s">
        <v>131</v>
      </c>
      <c r="E43" s="44">
        <v>925655</v>
      </c>
      <c r="F43" s="44"/>
      <c r="G43" s="44">
        <v>185131</v>
      </c>
      <c r="Q43" s="41">
        <v>677128</v>
      </c>
      <c r="R43" s="41">
        <f t="shared" si="0"/>
        <v>135425.60000000001</v>
      </c>
    </row>
    <row r="44" spans="1:18" x14ac:dyDescent="0.25">
      <c r="A44" s="43">
        <v>2005</v>
      </c>
      <c r="B44" s="43" t="s">
        <v>123</v>
      </c>
      <c r="C44" s="43" t="s">
        <v>44</v>
      </c>
      <c r="D44" s="43" t="s">
        <v>136</v>
      </c>
      <c r="E44" s="43">
        <v>677128</v>
      </c>
      <c r="F44" s="43"/>
      <c r="G44" s="43">
        <v>135425.60000000001</v>
      </c>
      <c r="Q44" s="41">
        <v>2602664</v>
      </c>
      <c r="R44" s="41">
        <f t="shared" si="0"/>
        <v>520532.80000000005</v>
      </c>
    </row>
    <row r="45" spans="1:18" x14ac:dyDescent="0.25">
      <c r="A45" s="44">
        <v>2005</v>
      </c>
      <c r="B45" s="44" t="s">
        <v>123</v>
      </c>
      <c r="C45" s="44" t="s">
        <v>43</v>
      </c>
      <c r="D45" s="44" t="s">
        <v>209</v>
      </c>
      <c r="E45" s="44">
        <v>2602664</v>
      </c>
      <c r="F45" s="44"/>
      <c r="G45" s="44">
        <v>520532.80000000005</v>
      </c>
      <c r="Q45" s="41">
        <v>2535299</v>
      </c>
      <c r="R45" s="41">
        <f t="shared" si="0"/>
        <v>507059.80000000005</v>
      </c>
    </row>
    <row r="46" spans="1:18" x14ac:dyDescent="0.25">
      <c r="A46" s="43">
        <v>2005</v>
      </c>
      <c r="B46" s="43" t="s">
        <v>123</v>
      </c>
      <c r="C46" s="43" t="s">
        <v>43</v>
      </c>
      <c r="D46" s="43" t="s">
        <v>134</v>
      </c>
      <c r="E46" s="43">
        <v>2535299</v>
      </c>
      <c r="F46" s="43"/>
      <c r="G46" s="43">
        <v>507059.80000000005</v>
      </c>
      <c r="Q46" s="41">
        <v>2533039</v>
      </c>
      <c r="R46" s="41">
        <f t="shared" si="0"/>
        <v>506607.80000000005</v>
      </c>
    </row>
    <row r="47" spans="1:18" x14ac:dyDescent="0.25">
      <c r="A47" s="44">
        <v>2005</v>
      </c>
      <c r="B47" s="44" t="s">
        <v>123</v>
      </c>
      <c r="C47" s="44" t="s">
        <v>43</v>
      </c>
      <c r="D47" s="44" t="s">
        <v>135</v>
      </c>
      <c r="E47" s="44">
        <v>2533039</v>
      </c>
      <c r="F47" s="44"/>
      <c r="G47" s="44">
        <v>506607.80000000005</v>
      </c>
      <c r="Q47" s="41">
        <v>2568409</v>
      </c>
      <c r="R47" s="41">
        <f t="shared" si="0"/>
        <v>513681.80000000005</v>
      </c>
    </row>
    <row r="48" spans="1:18" x14ac:dyDescent="0.25">
      <c r="A48" s="43">
        <v>2005</v>
      </c>
      <c r="B48" s="43" t="s">
        <v>123</v>
      </c>
      <c r="C48" s="43" t="s">
        <v>43</v>
      </c>
      <c r="D48" s="43" t="s">
        <v>124</v>
      </c>
      <c r="E48" s="43">
        <v>2568409</v>
      </c>
      <c r="F48" s="43"/>
      <c r="G48" s="43">
        <v>513681.80000000005</v>
      </c>
      <c r="Q48" s="41">
        <v>2451570</v>
      </c>
      <c r="R48" s="41">
        <f t="shared" si="0"/>
        <v>490314</v>
      </c>
    </row>
    <row r="49" spans="1:18" x14ac:dyDescent="0.25">
      <c r="A49" s="44">
        <v>2005</v>
      </c>
      <c r="B49" s="44" t="s">
        <v>123</v>
      </c>
      <c r="C49" s="44" t="s">
        <v>43</v>
      </c>
      <c r="D49" s="44" t="s">
        <v>125</v>
      </c>
      <c r="E49" s="44">
        <v>2451570</v>
      </c>
      <c r="F49" s="44"/>
      <c r="G49" s="44">
        <v>490314</v>
      </c>
      <c r="Q49" s="41">
        <v>2167428</v>
      </c>
      <c r="R49" s="41">
        <f t="shared" si="0"/>
        <v>433485.60000000003</v>
      </c>
    </row>
    <row r="50" spans="1:18" x14ac:dyDescent="0.25">
      <c r="A50" s="43">
        <v>2005</v>
      </c>
      <c r="B50" s="43" t="s">
        <v>123</v>
      </c>
      <c r="C50" s="43" t="s">
        <v>43</v>
      </c>
      <c r="D50" s="43" t="s">
        <v>126</v>
      </c>
      <c r="E50" s="43">
        <v>2167428</v>
      </c>
      <c r="F50" s="43"/>
      <c r="G50" s="43">
        <v>433485.60000000003</v>
      </c>
      <c r="Q50" s="41">
        <v>1906808</v>
      </c>
      <c r="R50" s="41">
        <f t="shared" si="0"/>
        <v>381361.60000000003</v>
      </c>
    </row>
    <row r="51" spans="1:18" x14ac:dyDescent="0.25">
      <c r="A51" s="44">
        <v>2005</v>
      </c>
      <c r="B51" s="44" t="s">
        <v>123</v>
      </c>
      <c r="C51" s="44" t="s">
        <v>43</v>
      </c>
      <c r="D51" s="44" t="s">
        <v>127</v>
      </c>
      <c r="E51" s="44">
        <v>1906808</v>
      </c>
      <c r="F51" s="44"/>
      <c r="G51" s="44">
        <v>381361.60000000003</v>
      </c>
      <c r="Q51" s="41">
        <v>1648612</v>
      </c>
      <c r="R51" s="41">
        <f t="shared" si="0"/>
        <v>329722.40000000002</v>
      </c>
    </row>
    <row r="52" spans="1:18" x14ac:dyDescent="0.25">
      <c r="A52" s="43">
        <v>2005</v>
      </c>
      <c r="B52" s="43" t="s">
        <v>123</v>
      </c>
      <c r="C52" s="43" t="s">
        <v>43</v>
      </c>
      <c r="D52" s="43" t="s">
        <v>128</v>
      </c>
      <c r="E52" s="43">
        <v>1648612</v>
      </c>
      <c r="F52" s="43"/>
      <c r="G52" s="43">
        <v>329722.40000000002</v>
      </c>
      <c r="Q52" s="41">
        <v>1434647</v>
      </c>
      <c r="R52" s="41">
        <f t="shared" si="0"/>
        <v>286929.40000000002</v>
      </c>
    </row>
    <row r="53" spans="1:18" x14ac:dyDescent="0.25">
      <c r="A53" s="44">
        <v>2005</v>
      </c>
      <c r="B53" s="44" t="s">
        <v>123</v>
      </c>
      <c r="C53" s="44" t="s">
        <v>43</v>
      </c>
      <c r="D53" s="44" t="s">
        <v>129</v>
      </c>
      <c r="E53" s="44">
        <v>1434647</v>
      </c>
      <c r="F53" s="44"/>
      <c r="G53" s="44">
        <v>286929.40000000002</v>
      </c>
      <c r="Q53" s="41">
        <v>1243314</v>
      </c>
      <c r="R53" s="41">
        <f t="shared" si="0"/>
        <v>248662.80000000002</v>
      </c>
    </row>
    <row r="54" spans="1:18" x14ac:dyDescent="0.25">
      <c r="A54" s="43">
        <v>2005</v>
      </c>
      <c r="B54" s="43" t="s">
        <v>123</v>
      </c>
      <c r="C54" s="43" t="s">
        <v>43</v>
      </c>
      <c r="D54" s="43" t="s">
        <v>130</v>
      </c>
      <c r="E54" s="43">
        <v>1243314</v>
      </c>
      <c r="F54" s="43"/>
      <c r="G54" s="43">
        <v>248662.80000000002</v>
      </c>
      <c r="Q54" s="41">
        <v>1054059</v>
      </c>
      <c r="R54" s="41">
        <f t="shared" si="0"/>
        <v>210811.80000000002</v>
      </c>
    </row>
    <row r="55" spans="1:18" x14ac:dyDescent="0.25">
      <c r="A55" s="44">
        <v>2005</v>
      </c>
      <c r="B55" s="44" t="s">
        <v>123</v>
      </c>
      <c r="C55" s="44" t="s">
        <v>43</v>
      </c>
      <c r="D55" s="44" t="s">
        <v>131</v>
      </c>
      <c r="E55" s="44">
        <v>1054059</v>
      </c>
      <c r="F55" s="44"/>
      <c r="G55" s="44">
        <v>210811.80000000002</v>
      </c>
      <c r="Q55" s="41">
        <v>783876</v>
      </c>
      <c r="R55" s="41">
        <f t="shared" si="0"/>
        <v>156775.20000000001</v>
      </c>
    </row>
    <row r="56" spans="1:18" x14ac:dyDescent="0.25">
      <c r="A56" s="43">
        <v>2005</v>
      </c>
      <c r="B56" s="43" t="s">
        <v>123</v>
      </c>
      <c r="C56" s="43" t="s">
        <v>43</v>
      </c>
      <c r="D56" s="43" t="s">
        <v>136</v>
      </c>
      <c r="E56" s="43">
        <v>783876</v>
      </c>
      <c r="F56" s="43"/>
      <c r="G56" s="43">
        <v>156775.20000000001</v>
      </c>
      <c r="Q56" s="41">
        <v>2692300</v>
      </c>
      <c r="R56" s="41">
        <f t="shared" si="0"/>
        <v>538460</v>
      </c>
    </row>
    <row r="57" spans="1:18" x14ac:dyDescent="0.25">
      <c r="A57" s="44">
        <v>2008</v>
      </c>
      <c r="B57" s="44" t="s">
        <v>123</v>
      </c>
      <c r="C57" s="44" t="s">
        <v>44</v>
      </c>
      <c r="D57" s="44" t="s">
        <v>209</v>
      </c>
      <c r="E57" s="44">
        <v>2692300</v>
      </c>
      <c r="F57" s="44"/>
      <c r="G57" s="44">
        <v>538460</v>
      </c>
      <c r="Q57" s="41">
        <v>2592577</v>
      </c>
      <c r="R57" s="41">
        <f t="shared" si="0"/>
        <v>518515.4</v>
      </c>
    </row>
    <row r="58" spans="1:18" x14ac:dyDescent="0.25">
      <c r="A58" s="43">
        <v>2008</v>
      </c>
      <c r="B58" s="43" t="s">
        <v>123</v>
      </c>
      <c r="C58" s="43" t="s">
        <v>44</v>
      </c>
      <c r="D58" s="43" t="s">
        <v>134</v>
      </c>
      <c r="E58" s="43">
        <v>2592577</v>
      </c>
      <c r="F58" s="43"/>
      <c r="G58" s="43">
        <v>518515.4</v>
      </c>
      <c r="Q58" s="41">
        <v>2557928</v>
      </c>
      <c r="R58" s="41">
        <f t="shared" si="0"/>
        <v>511585.60000000003</v>
      </c>
    </row>
    <row r="59" spans="1:18" x14ac:dyDescent="0.25">
      <c r="A59" s="44">
        <v>2008</v>
      </c>
      <c r="B59" s="44" t="s">
        <v>123</v>
      </c>
      <c r="C59" s="44" t="s">
        <v>44</v>
      </c>
      <c r="D59" s="44" t="s">
        <v>135</v>
      </c>
      <c r="E59" s="44">
        <v>2557928</v>
      </c>
      <c r="F59" s="44"/>
      <c r="G59" s="44">
        <v>511585.60000000003</v>
      </c>
      <c r="Q59" s="41">
        <v>2584945</v>
      </c>
      <c r="R59" s="41">
        <f t="shared" si="0"/>
        <v>516989</v>
      </c>
    </row>
    <row r="60" spans="1:18" x14ac:dyDescent="0.25">
      <c r="A60" s="43">
        <v>2008</v>
      </c>
      <c r="B60" s="43" t="s">
        <v>123</v>
      </c>
      <c r="C60" s="43" t="s">
        <v>44</v>
      </c>
      <c r="D60" s="43" t="s">
        <v>124</v>
      </c>
      <c r="E60" s="43">
        <v>2584945</v>
      </c>
      <c r="F60" s="43"/>
      <c r="G60" s="43">
        <v>516989</v>
      </c>
      <c r="Q60" s="41">
        <v>2572307</v>
      </c>
      <c r="R60" s="41">
        <f t="shared" si="0"/>
        <v>514461.4</v>
      </c>
    </row>
    <row r="61" spans="1:18" x14ac:dyDescent="0.25">
      <c r="A61" s="44">
        <v>2008</v>
      </c>
      <c r="B61" s="44" t="s">
        <v>123</v>
      </c>
      <c r="C61" s="44" t="s">
        <v>44</v>
      </c>
      <c r="D61" s="44" t="s">
        <v>125</v>
      </c>
      <c r="E61" s="44">
        <v>2572307</v>
      </c>
      <c r="F61" s="44"/>
      <c r="G61" s="44">
        <v>514461.4</v>
      </c>
      <c r="Q61" s="41">
        <v>2362377</v>
      </c>
      <c r="R61" s="41">
        <f t="shared" si="0"/>
        <v>472475.4</v>
      </c>
    </row>
    <row r="62" spans="1:18" x14ac:dyDescent="0.25">
      <c r="A62" s="43">
        <v>2008</v>
      </c>
      <c r="B62" s="43" t="s">
        <v>123</v>
      </c>
      <c r="C62" s="43" t="s">
        <v>44</v>
      </c>
      <c r="D62" s="43" t="s">
        <v>126</v>
      </c>
      <c r="E62" s="43">
        <v>2362377</v>
      </c>
      <c r="F62" s="43"/>
      <c r="G62" s="43">
        <v>472475.4</v>
      </c>
      <c r="Q62" s="41">
        <v>2018461</v>
      </c>
      <c r="R62" s="41">
        <f t="shared" si="0"/>
        <v>403692.2</v>
      </c>
    </row>
    <row r="63" spans="1:18" x14ac:dyDescent="0.25">
      <c r="A63" s="44">
        <v>2008</v>
      </c>
      <c r="B63" s="44" t="s">
        <v>123</v>
      </c>
      <c r="C63" s="44" t="s">
        <v>44</v>
      </c>
      <c r="D63" s="44" t="s">
        <v>127</v>
      </c>
      <c r="E63" s="44">
        <v>2018461</v>
      </c>
      <c r="F63" s="44"/>
      <c r="G63" s="44">
        <v>403692.2</v>
      </c>
      <c r="Q63" s="41">
        <v>1664587</v>
      </c>
      <c r="R63" s="41">
        <f t="shared" si="0"/>
        <v>332917.40000000002</v>
      </c>
    </row>
    <row r="64" spans="1:18" x14ac:dyDescent="0.25">
      <c r="A64" s="43">
        <v>2008</v>
      </c>
      <c r="B64" s="43" t="s">
        <v>123</v>
      </c>
      <c r="C64" s="43" t="s">
        <v>44</v>
      </c>
      <c r="D64" s="43" t="s">
        <v>128</v>
      </c>
      <c r="E64" s="43">
        <v>1664587</v>
      </c>
      <c r="F64" s="43"/>
      <c r="G64" s="43">
        <v>332917.40000000002</v>
      </c>
      <c r="Q64" s="41">
        <v>1367150</v>
      </c>
      <c r="R64" s="41">
        <f t="shared" si="0"/>
        <v>273430</v>
      </c>
    </row>
    <row r="65" spans="1:18" x14ac:dyDescent="0.25">
      <c r="A65" s="44">
        <v>2008</v>
      </c>
      <c r="B65" s="44" t="s">
        <v>123</v>
      </c>
      <c r="C65" s="44" t="s">
        <v>44</v>
      </c>
      <c r="D65" s="44" t="s">
        <v>129</v>
      </c>
      <c r="E65" s="44">
        <v>1367150</v>
      </c>
      <c r="F65" s="44"/>
      <c r="G65" s="44">
        <v>273430</v>
      </c>
      <c r="Q65" s="41">
        <v>1159644</v>
      </c>
      <c r="R65" s="41">
        <f t="shared" si="0"/>
        <v>231928.80000000002</v>
      </c>
    </row>
    <row r="66" spans="1:18" x14ac:dyDescent="0.25">
      <c r="A66" s="43">
        <v>2008</v>
      </c>
      <c r="B66" s="43" t="s">
        <v>123</v>
      </c>
      <c r="C66" s="43" t="s">
        <v>44</v>
      </c>
      <c r="D66" s="43" t="s">
        <v>130</v>
      </c>
      <c r="E66" s="43">
        <v>1159644</v>
      </c>
      <c r="F66" s="43"/>
      <c r="G66" s="43">
        <v>231928.80000000002</v>
      </c>
      <c r="Q66" s="41">
        <v>973184</v>
      </c>
      <c r="R66" s="41">
        <f t="shared" si="0"/>
        <v>194636.80000000002</v>
      </c>
    </row>
    <row r="67" spans="1:18" x14ac:dyDescent="0.25">
      <c r="A67" s="44">
        <v>2008</v>
      </c>
      <c r="B67" s="44" t="s">
        <v>123</v>
      </c>
      <c r="C67" s="44" t="s">
        <v>44</v>
      </c>
      <c r="D67" s="44" t="s">
        <v>131</v>
      </c>
      <c r="E67" s="44">
        <v>973184</v>
      </c>
      <c r="F67" s="44"/>
      <c r="G67" s="44">
        <v>194636.80000000002</v>
      </c>
      <c r="Q67" s="41">
        <v>760379</v>
      </c>
      <c r="R67" s="41">
        <f t="shared" si="0"/>
        <v>152075.80000000002</v>
      </c>
    </row>
    <row r="68" spans="1:18" x14ac:dyDescent="0.25">
      <c r="A68" s="43">
        <v>2008</v>
      </c>
      <c r="B68" s="43" t="s">
        <v>123</v>
      </c>
      <c r="C68" s="43" t="s">
        <v>44</v>
      </c>
      <c r="D68" s="43" t="s">
        <v>136</v>
      </c>
      <c r="E68" s="43">
        <v>760379</v>
      </c>
      <c r="F68" s="43"/>
      <c r="G68" s="43">
        <v>152075.80000000002</v>
      </c>
      <c r="Q68" s="41">
        <v>2640997</v>
      </c>
      <c r="R68" s="41">
        <f t="shared" si="0"/>
        <v>528199.4</v>
      </c>
    </row>
    <row r="69" spans="1:18" x14ac:dyDescent="0.25">
      <c r="A69" s="44">
        <v>2008</v>
      </c>
      <c r="B69" s="44" t="s">
        <v>123</v>
      </c>
      <c r="C69" s="44" t="s">
        <v>43</v>
      </c>
      <c r="D69" s="44" t="s">
        <v>209</v>
      </c>
      <c r="E69" s="44">
        <v>2640997</v>
      </c>
      <c r="F69" s="44"/>
      <c r="G69" s="44">
        <v>528199.4</v>
      </c>
      <c r="Q69" s="41">
        <v>2555462</v>
      </c>
      <c r="R69" s="41">
        <f t="shared" si="0"/>
        <v>511092.4</v>
      </c>
    </row>
    <row r="70" spans="1:18" x14ac:dyDescent="0.25">
      <c r="A70" s="43">
        <v>2008</v>
      </c>
      <c r="B70" s="43" t="s">
        <v>123</v>
      </c>
      <c r="C70" s="43" t="s">
        <v>43</v>
      </c>
      <c r="D70" s="43" t="s">
        <v>134</v>
      </c>
      <c r="E70" s="43">
        <v>2555462</v>
      </c>
      <c r="F70" s="43"/>
      <c r="G70" s="43">
        <v>511092.4</v>
      </c>
      <c r="Q70" s="41">
        <v>2526253</v>
      </c>
      <c r="R70" s="41">
        <f t="shared" si="0"/>
        <v>505250.60000000003</v>
      </c>
    </row>
    <row r="71" spans="1:18" x14ac:dyDescent="0.25">
      <c r="A71" s="44">
        <v>2008</v>
      </c>
      <c r="B71" s="44" t="s">
        <v>123</v>
      </c>
      <c r="C71" s="44" t="s">
        <v>43</v>
      </c>
      <c r="D71" s="44" t="s">
        <v>135</v>
      </c>
      <c r="E71" s="44">
        <v>2526253</v>
      </c>
      <c r="F71" s="44"/>
      <c r="G71" s="44">
        <v>505250.60000000003</v>
      </c>
      <c r="Q71" s="41">
        <v>2552976</v>
      </c>
      <c r="R71" s="41">
        <f t="shared" si="0"/>
        <v>510595.2</v>
      </c>
    </row>
    <row r="72" spans="1:18" x14ac:dyDescent="0.25">
      <c r="A72" s="43">
        <v>2008</v>
      </c>
      <c r="B72" s="43" t="s">
        <v>123</v>
      </c>
      <c r="C72" s="43" t="s">
        <v>43</v>
      </c>
      <c r="D72" s="43" t="s">
        <v>124</v>
      </c>
      <c r="E72" s="43">
        <v>2552976</v>
      </c>
      <c r="F72" s="43"/>
      <c r="G72" s="43">
        <v>510595.2</v>
      </c>
      <c r="Q72" s="41">
        <v>2523985</v>
      </c>
      <c r="R72" s="41">
        <f t="shared" si="0"/>
        <v>504797</v>
      </c>
    </row>
    <row r="73" spans="1:18" x14ac:dyDescent="0.25">
      <c r="A73" s="44">
        <v>2008</v>
      </c>
      <c r="B73" s="44" t="s">
        <v>123</v>
      </c>
      <c r="C73" s="44" t="s">
        <v>43</v>
      </c>
      <c r="D73" s="44" t="s">
        <v>125</v>
      </c>
      <c r="E73" s="44">
        <v>2523985</v>
      </c>
      <c r="F73" s="44"/>
      <c r="G73" s="44">
        <v>504797</v>
      </c>
      <c r="Q73" s="41">
        <v>2282514</v>
      </c>
      <c r="R73" s="41">
        <f t="shared" ref="R73:R127" si="1">Q73*0.2</f>
        <v>456502.80000000005</v>
      </c>
    </row>
    <row r="74" spans="1:18" x14ac:dyDescent="0.25">
      <c r="A74" s="43">
        <v>2008</v>
      </c>
      <c r="B74" s="43" t="s">
        <v>123</v>
      </c>
      <c r="C74" s="43" t="s">
        <v>43</v>
      </c>
      <c r="D74" s="43" t="s">
        <v>126</v>
      </c>
      <c r="E74" s="43">
        <v>2282514</v>
      </c>
      <c r="F74" s="43"/>
      <c r="G74" s="43">
        <v>456502.80000000005</v>
      </c>
      <c r="Q74" s="41">
        <v>1967958</v>
      </c>
      <c r="R74" s="41">
        <f t="shared" si="1"/>
        <v>393591.60000000003</v>
      </c>
    </row>
    <row r="75" spans="1:18" x14ac:dyDescent="0.25">
      <c r="A75" s="44">
        <v>2008</v>
      </c>
      <c r="B75" s="44" t="s">
        <v>123</v>
      </c>
      <c r="C75" s="44" t="s">
        <v>43</v>
      </c>
      <c r="D75" s="44" t="s">
        <v>127</v>
      </c>
      <c r="E75" s="44">
        <v>1967958</v>
      </c>
      <c r="F75" s="44"/>
      <c r="G75" s="44">
        <v>393591.60000000003</v>
      </c>
      <c r="Q75" s="41">
        <v>1717873</v>
      </c>
      <c r="R75" s="41">
        <f t="shared" si="1"/>
        <v>343574.60000000003</v>
      </c>
    </row>
    <row r="76" spans="1:18" x14ac:dyDescent="0.25">
      <c r="A76" s="43">
        <v>2008</v>
      </c>
      <c r="B76" s="43" t="s">
        <v>123</v>
      </c>
      <c r="C76" s="43" t="s">
        <v>43</v>
      </c>
      <c r="D76" s="43" t="s">
        <v>128</v>
      </c>
      <c r="E76" s="43">
        <v>1717873</v>
      </c>
      <c r="F76" s="43"/>
      <c r="G76" s="43">
        <v>343574.60000000003</v>
      </c>
      <c r="Q76" s="41">
        <v>1491937</v>
      </c>
      <c r="R76" s="41">
        <f t="shared" si="1"/>
        <v>298387.40000000002</v>
      </c>
    </row>
    <row r="77" spans="1:18" x14ac:dyDescent="0.25">
      <c r="A77" s="44">
        <v>2008</v>
      </c>
      <c r="B77" s="44" t="s">
        <v>123</v>
      </c>
      <c r="C77" s="44" t="s">
        <v>43</v>
      </c>
      <c r="D77" s="44" t="s">
        <v>129</v>
      </c>
      <c r="E77" s="44">
        <v>1491937</v>
      </c>
      <c r="F77" s="44"/>
      <c r="G77" s="44">
        <v>298387.40000000002</v>
      </c>
      <c r="Q77" s="41">
        <v>1302936</v>
      </c>
      <c r="R77" s="41">
        <f t="shared" si="1"/>
        <v>260587.2</v>
      </c>
    </row>
    <row r="78" spans="1:18" x14ac:dyDescent="0.25">
      <c r="A78" s="43">
        <v>2008</v>
      </c>
      <c r="B78" s="43" t="s">
        <v>123</v>
      </c>
      <c r="C78" s="43" t="s">
        <v>43</v>
      </c>
      <c r="D78" s="43" t="s">
        <v>130</v>
      </c>
      <c r="E78" s="43">
        <v>1302936</v>
      </c>
      <c r="F78" s="43"/>
      <c r="G78" s="43">
        <v>260587.2</v>
      </c>
      <c r="Q78" s="41">
        <v>1124243</v>
      </c>
      <c r="R78" s="41">
        <f t="shared" si="1"/>
        <v>224848.6</v>
      </c>
    </row>
    <row r="79" spans="1:18" x14ac:dyDescent="0.25">
      <c r="A79" s="44">
        <v>2008</v>
      </c>
      <c r="B79" s="44" t="s">
        <v>123</v>
      </c>
      <c r="C79" s="44" t="s">
        <v>43</v>
      </c>
      <c r="D79" s="44" t="s">
        <v>131</v>
      </c>
      <c r="E79" s="44">
        <v>1124243</v>
      </c>
      <c r="F79" s="44"/>
      <c r="G79" s="44">
        <v>224848.6</v>
      </c>
      <c r="Q79" s="41">
        <v>898804</v>
      </c>
      <c r="R79" s="41">
        <f t="shared" si="1"/>
        <v>179760.80000000002</v>
      </c>
    </row>
    <row r="80" spans="1:18" x14ac:dyDescent="0.25">
      <c r="A80" s="43">
        <v>2008</v>
      </c>
      <c r="B80" s="43" t="s">
        <v>123</v>
      </c>
      <c r="C80" s="43" t="s">
        <v>43</v>
      </c>
      <c r="D80" s="43" t="s">
        <v>136</v>
      </c>
      <c r="E80" s="43">
        <v>898804</v>
      </c>
      <c r="F80" s="43"/>
      <c r="G80" s="43">
        <v>179760.80000000002</v>
      </c>
      <c r="Q80" s="41">
        <v>2784372</v>
      </c>
      <c r="R80" s="41">
        <f t="shared" si="1"/>
        <v>556874.4</v>
      </c>
    </row>
    <row r="81" spans="1:18" x14ac:dyDescent="0.25">
      <c r="A81" s="44">
        <v>2012</v>
      </c>
      <c r="B81" s="44" t="s">
        <v>123</v>
      </c>
      <c r="C81" s="44" t="s">
        <v>44</v>
      </c>
      <c r="D81" s="44" t="s">
        <v>209</v>
      </c>
      <c r="E81" s="44">
        <v>2784372</v>
      </c>
      <c r="F81" s="44"/>
      <c r="G81" s="44">
        <v>556874.4</v>
      </c>
      <c r="Q81" s="41">
        <v>2644720</v>
      </c>
      <c r="R81" s="41">
        <f t="shared" si="1"/>
        <v>528944</v>
      </c>
    </row>
    <row r="82" spans="1:18" x14ac:dyDescent="0.25">
      <c r="A82" s="43">
        <v>2012</v>
      </c>
      <c r="B82" s="43" t="s">
        <v>123</v>
      </c>
      <c r="C82" s="43" t="s">
        <v>44</v>
      </c>
      <c r="D82" s="43" t="s">
        <v>134</v>
      </c>
      <c r="E82" s="43">
        <v>2644720</v>
      </c>
      <c r="F82" s="43"/>
      <c r="G82" s="43">
        <v>528944</v>
      </c>
      <c r="Q82" s="41">
        <v>2578751</v>
      </c>
      <c r="R82" s="41">
        <f t="shared" si="1"/>
        <v>515750.2</v>
      </c>
    </row>
    <row r="83" spans="1:18" x14ac:dyDescent="0.25">
      <c r="A83" s="44">
        <v>2012</v>
      </c>
      <c r="B83" s="44" t="s">
        <v>123</v>
      </c>
      <c r="C83" s="44" t="s">
        <v>44</v>
      </c>
      <c r="D83" s="44" t="s">
        <v>135</v>
      </c>
      <c r="E83" s="44">
        <v>2578751</v>
      </c>
      <c r="F83" s="44"/>
      <c r="G83" s="44">
        <v>515750.2</v>
      </c>
      <c r="Q83" s="41">
        <v>2572032</v>
      </c>
      <c r="R83" s="41">
        <f t="shared" si="1"/>
        <v>514406.40000000002</v>
      </c>
    </row>
    <row r="84" spans="1:18" x14ac:dyDescent="0.25">
      <c r="A84" s="43">
        <v>2012</v>
      </c>
      <c r="B84" s="43" t="s">
        <v>123</v>
      </c>
      <c r="C84" s="43" t="s">
        <v>44</v>
      </c>
      <c r="D84" s="43" t="s">
        <v>124</v>
      </c>
      <c r="E84" s="43">
        <v>2572032</v>
      </c>
      <c r="F84" s="43"/>
      <c r="G84" s="43">
        <v>514406.40000000002</v>
      </c>
      <c r="Q84" s="41">
        <v>2606447</v>
      </c>
      <c r="R84" s="41">
        <f t="shared" si="1"/>
        <v>521289.4</v>
      </c>
    </row>
    <row r="85" spans="1:18" x14ac:dyDescent="0.25">
      <c r="A85" s="44">
        <v>2012</v>
      </c>
      <c r="B85" s="44" t="s">
        <v>123</v>
      </c>
      <c r="C85" s="44" t="s">
        <v>44</v>
      </c>
      <c r="D85" s="44" t="s">
        <v>125</v>
      </c>
      <c r="E85" s="44">
        <v>2606447</v>
      </c>
      <c r="F85" s="44"/>
      <c r="G85" s="44">
        <v>521289.4</v>
      </c>
      <c r="Q85" s="41">
        <v>2530034</v>
      </c>
      <c r="R85" s="41">
        <f t="shared" si="1"/>
        <v>506006.80000000005</v>
      </c>
    </row>
    <row r="86" spans="1:18" x14ac:dyDescent="0.25">
      <c r="A86" s="43">
        <v>2012</v>
      </c>
      <c r="B86" s="43" t="s">
        <v>123</v>
      </c>
      <c r="C86" s="43" t="s">
        <v>44</v>
      </c>
      <c r="D86" s="43" t="s">
        <v>126</v>
      </c>
      <c r="E86" s="43">
        <v>2530034</v>
      </c>
      <c r="F86" s="43"/>
      <c r="G86" s="43">
        <v>506006.80000000005</v>
      </c>
      <c r="Q86" s="41">
        <v>2227862</v>
      </c>
      <c r="R86" s="41">
        <f t="shared" si="1"/>
        <v>445572.4</v>
      </c>
    </row>
    <row r="87" spans="1:18" x14ac:dyDescent="0.25">
      <c r="A87" s="44">
        <v>2012</v>
      </c>
      <c r="B87" s="44" t="s">
        <v>123</v>
      </c>
      <c r="C87" s="44" t="s">
        <v>44</v>
      </c>
      <c r="D87" s="44" t="s">
        <v>127</v>
      </c>
      <c r="E87" s="44">
        <v>2227862</v>
      </c>
      <c r="F87" s="44"/>
      <c r="G87" s="44">
        <v>445572.4</v>
      </c>
      <c r="Q87" s="41">
        <v>1845019</v>
      </c>
      <c r="R87" s="41">
        <f t="shared" si="1"/>
        <v>369003.80000000005</v>
      </c>
    </row>
    <row r="88" spans="1:18" x14ac:dyDescent="0.25">
      <c r="A88" s="43">
        <v>2012</v>
      </c>
      <c r="B88" s="43" t="s">
        <v>123</v>
      </c>
      <c r="C88" s="43" t="s">
        <v>44</v>
      </c>
      <c r="D88" s="43" t="s">
        <v>128</v>
      </c>
      <c r="E88" s="43">
        <v>1845019</v>
      </c>
      <c r="F88" s="43"/>
      <c r="G88" s="43">
        <v>369003.80000000005</v>
      </c>
      <c r="Q88" s="41">
        <v>1493652</v>
      </c>
      <c r="R88" s="41">
        <f t="shared" si="1"/>
        <v>298730.40000000002</v>
      </c>
    </row>
    <row r="89" spans="1:18" x14ac:dyDescent="0.25">
      <c r="A89" s="44">
        <v>2012</v>
      </c>
      <c r="B89" s="44" t="s">
        <v>123</v>
      </c>
      <c r="C89" s="44" t="s">
        <v>44</v>
      </c>
      <c r="D89" s="44" t="s">
        <v>129</v>
      </c>
      <c r="E89" s="44">
        <v>1493652</v>
      </c>
      <c r="F89" s="44"/>
      <c r="G89" s="44">
        <v>298730.40000000002</v>
      </c>
      <c r="Q89" s="41">
        <v>1234887</v>
      </c>
      <c r="R89" s="41">
        <f t="shared" si="1"/>
        <v>246977.40000000002</v>
      </c>
    </row>
    <row r="90" spans="1:18" x14ac:dyDescent="0.25">
      <c r="A90" s="43">
        <v>2012</v>
      </c>
      <c r="B90" s="43" t="s">
        <v>123</v>
      </c>
      <c r="C90" s="43" t="s">
        <v>44</v>
      </c>
      <c r="D90" s="43" t="s">
        <v>130</v>
      </c>
      <c r="E90" s="43">
        <v>1234887</v>
      </c>
      <c r="F90" s="43"/>
      <c r="G90" s="43">
        <v>246977.40000000002</v>
      </c>
      <c r="Q90" s="41">
        <v>1038560</v>
      </c>
      <c r="R90" s="41">
        <f t="shared" si="1"/>
        <v>207712</v>
      </c>
    </row>
    <row r="91" spans="1:18" x14ac:dyDescent="0.25">
      <c r="A91" s="44">
        <v>2012</v>
      </c>
      <c r="B91" s="44" t="s">
        <v>123</v>
      </c>
      <c r="C91" s="44" t="s">
        <v>44</v>
      </c>
      <c r="D91" s="44" t="s">
        <v>131</v>
      </c>
      <c r="E91" s="44">
        <v>1038560</v>
      </c>
      <c r="F91" s="44"/>
      <c r="G91" s="44">
        <v>207712</v>
      </c>
      <c r="Q91" s="41">
        <v>856728</v>
      </c>
      <c r="R91" s="41">
        <f t="shared" si="1"/>
        <v>171345.6</v>
      </c>
    </row>
    <row r="92" spans="1:18" x14ac:dyDescent="0.25">
      <c r="A92" s="43">
        <v>2012</v>
      </c>
      <c r="B92" s="43" t="s">
        <v>123</v>
      </c>
      <c r="C92" s="43" t="s">
        <v>44</v>
      </c>
      <c r="D92" s="43" t="s">
        <v>136</v>
      </c>
      <c r="E92" s="43">
        <v>856728</v>
      </c>
      <c r="F92" s="43"/>
      <c r="G92" s="43">
        <v>171345.6</v>
      </c>
      <c r="Q92" s="41">
        <v>2729586</v>
      </c>
      <c r="R92" s="41">
        <f t="shared" si="1"/>
        <v>545917.20000000007</v>
      </c>
    </row>
    <row r="93" spans="1:18" x14ac:dyDescent="0.25">
      <c r="A93" s="44">
        <v>2012</v>
      </c>
      <c r="B93" s="44" t="s">
        <v>123</v>
      </c>
      <c r="C93" s="44" t="s">
        <v>43</v>
      </c>
      <c r="D93" s="44" t="s">
        <v>209</v>
      </c>
      <c r="E93" s="44">
        <v>2729586</v>
      </c>
      <c r="F93" s="44"/>
      <c r="G93" s="44">
        <v>545917.20000000007</v>
      </c>
      <c r="Q93" s="41">
        <v>2604517</v>
      </c>
      <c r="R93" s="41">
        <f t="shared" si="1"/>
        <v>520903.4</v>
      </c>
    </row>
    <row r="94" spans="1:18" x14ac:dyDescent="0.25">
      <c r="A94" s="43">
        <v>2012</v>
      </c>
      <c r="B94" s="43" t="s">
        <v>123</v>
      </c>
      <c r="C94" s="43" t="s">
        <v>43</v>
      </c>
      <c r="D94" s="43" t="s">
        <v>134</v>
      </c>
      <c r="E94" s="43">
        <v>2604517</v>
      </c>
      <c r="F94" s="43"/>
      <c r="G94" s="43">
        <v>520903.4</v>
      </c>
      <c r="Q94" s="41">
        <v>2545219</v>
      </c>
      <c r="R94" s="41">
        <f t="shared" si="1"/>
        <v>509043.80000000005</v>
      </c>
    </row>
    <row r="95" spans="1:18" x14ac:dyDescent="0.25">
      <c r="A95" s="44">
        <v>2012</v>
      </c>
      <c r="B95" s="44" t="s">
        <v>123</v>
      </c>
      <c r="C95" s="44" t="s">
        <v>43</v>
      </c>
      <c r="D95" s="44" t="s">
        <v>135</v>
      </c>
      <c r="E95" s="44">
        <v>2545219</v>
      </c>
      <c r="F95" s="44"/>
      <c r="G95" s="44">
        <v>509043.80000000005</v>
      </c>
      <c r="Q95" s="41">
        <v>2535920</v>
      </c>
      <c r="R95" s="41">
        <f t="shared" si="1"/>
        <v>507184</v>
      </c>
    </row>
    <row r="96" spans="1:18" x14ac:dyDescent="0.25">
      <c r="A96" s="43">
        <v>2012</v>
      </c>
      <c r="B96" s="43" t="s">
        <v>123</v>
      </c>
      <c r="C96" s="43" t="s">
        <v>43</v>
      </c>
      <c r="D96" s="43" t="s">
        <v>124</v>
      </c>
      <c r="E96" s="43">
        <v>2535920</v>
      </c>
      <c r="F96" s="43"/>
      <c r="G96" s="43">
        <v>507184</v>
      </c>
      <c r="Q96" s="41">
        <v>2560705</v>
      </c>
      <c r="R96" s="41">
        <f t="shared" si="1"/>
        <v>512141</v>
      </c>
    </row>
    <row r="97" spans="1:18" x14ac:dyDescent="0.25">
      <c r="A97" s="44">
        <v>2012</v>
      </c>
      <c r="B97" s="44" t="s">
        <v>123</v>
      </c>
      <c r="C97" s="44" t="s">
        <v>43</v>
      </c>
      <c r="D97" s="44" t="s">
        <v>125</v>
      </c>
      <c r="E97" s="44">
        <v>2560705</v>
      </c>
      <c r="F97" s="44"/>
      <c r="G97" s="44">
        <v>512141</v>
      </c>
      <c r="Q97" s="41">
        <v>2447992</v>
      </c>
      <c r="R97" s="41">
        <f t="shared" si="1"/>
        <v>489598.4</v>
      </c>
    </row>
    <row r="98" spans="1:18" x14ac:dyDescent="0.25">
      <c r="A98" s="43">
        <v>2012</v>
      </c>
      <c r="B98" s="43" t="s">
        <v>123</v>
      </c>
      <c r="C98" s="43" t="s">
        <v>43</v>
      </c>
      <c r="D98" s="43" t="s">
        <v>126</v>
      </c>
      <c r="E98" s="43">
        <v>2447992</v>
      </c>
      <c r="F98" s="43"/>
      <c r="G98" s="43">
        <v>489598.4</v>
      </c>
      <c r="Q98" s="41">
        <v>2123170</v>
      </c>
      <c r="R98" s="41">
        <f t="shared" si="1"/>
        <v>424634</v>
      </c>
    </row>
    <row r="99" spans="1:18" x14ac:dyDescent="0.25">
      <c r="A99" s="44">
        <v>2012</v>
      </c>
      <c r="B99" s="44" t="s">
        <v>123</v>
      </c>
      <c r="C99" s="44" t="s">
        <v>43</v>
      </c>
      <c r="D99" s="44" t="s">
        <v>127</v>
      </c>
      <c r="E99" s="44">
        <v>2123170</v>
      </c>
      <c r="F99" s="44"/>
      <c r="G99" s="44">
        <v>424634</v>
      </c>
      <c r="Q99" s="41">
        <v>1821711</v>
      </c>
      <c r="R99" s="41">
        <f t="shared" si="1"/>
        <v>364342.2</v>
      </c>
    </row>
    <row r="100" spans="1:18" x14ac:dyDescent="0.25">
      <c r="A100" s="43">
        <v>2012</v>
      </c>
      <c r="B100" s="43" t="s">
        <v>123</v>
      </c>
      <c r="C100" s="43" t="s">
        <v>43</v>
      </c>
      <c r="D100" s="43" t="s">
        <v>128</v>
      </c>
      <c r="E100" s="43">
        <v>1821711</v>
      </c>
      <c r="F100" s="43"/>
      <c r="G100" s="43">
        <v>364342.2</v>
      </c>
      <c r="Q100" s="41">
        <v>1594914</v>
      </c>
      <c r="R100" s="41">
        <f t="shared" si="1"/>
        <v>318982.80000000005</v>
      </c>
    </row>
    <row r="101" spans="1:18" x14ac:dyDescent="0.25">
      <c r="A101" s="44">
        <v>2012</v>
      </c>
      <c r="B101" s="44" t="s">
        <v>123</v>
      </c>
      <c r="C101" s="44" t="s">
        <v>43</v>
      </c>
      <c r="D101" s="44" t="s">
        <v>129</v>
      </c>
      <c r="E101" s="44">
        <v>1594914</v>
      </c>
      <c r="F101" s="44"/>
      <c r="G101" s="44">
        <v>318982.80000000005</v>
      </c>
      <c r="Q101" s="41">
        <v>1396666</v>
      </c>
      <c r="R101" s="41">
        <f t="shared" si="1"/>
        <v>279333.2</v>
      </c>
    </row>
    <row r="102" spans="1:18" x14ac:dyDescent="0.25">
      <c r="A102" s="43">
        <v>2012</v>
      </c>
      <c r="B102" s="43" t="s">
        <v>123</v>
      </c>
      <c r="C102" s="43" t="s">
        <v>43</v>
      </c>
      <c r="D102" s="43" t="s">
        <v>130</v>
      </c>
      <c r="E102" s="43">
        <v>1396666</v>
      </c>
      <c r="F102" s="43"/>
      <c r="G102" s="43">
        <v>279333.2</v>
      </c>
      <c r="Q102" s="41">
        <v>1214556</v>
      </c>
      <c r="R102" s="41">
        <f t="shared" si="1"/>
        <v>242911.2</v>
      </c>
    </row>
    <row r="103" spans="1:18" x14ac:dyDescent="0.25">
      <c r="A103" s="44">
        <v>2012</v>
      </c>
      <c r="B103" s="44" t="s">
        <v>123</v>
      </c>
      <c r="C103" s="44" t="s">
        <v>43</v>
      </c>
      <c r="D103" s="44" t="s">
        <v>131</v>
      </c>
      <c r="E103" s="44">
        <v>1214556</v>
      </c>
      <c r="F103" s="44"/>
      <c r="G103" s="44">
        <v>242911.2</v>
      </c>
      <c r="Q103" s="41">
        <v>1035986</v>
      </c>
      <c r="R103" s="41">
        <f t="shared" si="1"/>
        <v>207197.2</v>
      </c>
    </row>
    <row r="104" spans="1:18" x14ac:dyDescent="0.25">
      <c r="A104" s="43">
        <v>2012</v>
      </c>
      <c r="B104" s="43" t="s">
        <v>123</v>
      </c>
      <c r="C104" s="43" t="s">
        <v>43</v>
      </c>
      <c r="D104" s="43" t="s">
        <v>136</v>
      </c>
      <c r="E104" s="43">
        <v>1035986</v>
      </c>
      <c r="F104" s="43"/>
      <c r="G104" s="43">
        <v>207197.2</v>
      </c>
      <c r="Q104" s="41">
        <v>2886299</v>
      </c>
      <c r="R104" s="41">
        <f t="shared" si="1"/>
        <v>577259.80000000005</v>
      </c>
    </row>
    <row r="105" spans="1:18" x14ac:dyDescent="0.25">
      <c r="A105" s="44">
        <v>2017</v>
      </c>
      <c r="B105" s="44" t="s">
        <v>123</v>
      </c>
      <c r="C105" s="44" t="s">
        <v>44</v>
      </c>
      <c r="D105" s="44" t="s">
        <v>209</v>
      </c>
      <c r="E105" s="44">
        <v>2886299</v>
      </c>
      <c r="F105" s="44"/>
      <c r="G105" s="44">
        <v>577259.80000000005</v>
      </c>
      <c r="Q105" s="41">
        <v>2767111</v>
      </c>
      <c r="R105" s="41">
        <f t="shared" si="1"/>
        <v>553422.20000000007</v>
      </c>
    </row>
    <row r="106" spans="1:18" x14ac:dyDescent="0.25">
      <c r="A106" s="43">
        <v>2017</v>
      </c>
      <c r="B106" s="43" t="s">
        <v>123</v>
      </c>
      <c r="C106" s="43" t="s">
        <v>44</v>
      </c>
      <c r="D106" s="43" t="s">
        <v>134</v>
      </c>
      <c r="E106" s="43">
        <v>2767111</v>
      </c>
      <c r="F106" s="43"/>
      <c r="G106" s="43">
        <v>553422.20000000007</v>
      </c>
      <c r="Q106" s="41">
        <v>2636981</v>
      </c>
      <c r="R106" s="41">
        <f t="shared" si="1"/>
        <v>527396.20000000007</v>
      </c>
    </row>
    <row r="107" spans="1:18" x14ac:dyDescent="0.25">
      <c r="A107" s="44">
        <v>2017</v>
      </c>
      <c r="B107" s="44" t="s">
        <v>123</v>
      </c>
      <c r="C107" s="44" t="s">
        <v>44</v>
      </c>
      <c r="D107" s="44" t="s">
        <v>135</v>
      </c>
      <c r="E107" s="44">
        <v>2636981</v>
      </c>
      <c r="F107" s="44"/>
      <c r="G107" s="44">
        <v>527396.20000000007</v>
      </c>
      <c r="Q107" s="41">
        <v>2587023</v>
      </c>
      <c r="R107" s="41">
        <f t="shared" si="1"/>
        <v>517404.60000000003</v>
      </c>
    </row>
    <row r="108" spans="1:18" x14ac:dyDescent="0.25">
      <c r="A108" s="43">
        <v>2017</v>
      </c>
      <c r="B108" s="43" t="s">
        <v>123</v>
      </c>
      <c r="C108" s="43" t="s">
        <v>44</v>
      </c>
      <c r="D108" s="43" t="s">
        <v>124</v>
      </c>
      <c r="E108" s="43">
        <v>2587023</v>
      </c>
      <c r="F108" s="43"/>
      <c r="G108" s="43">
        <v>517404.60000000003</v>
      </c>
      <c r="Q108" s="41">
        <v>2594656</v>
      </c>
      <c r="R108" s="41">
        <f t="shared" si="1"/>
        <v>518931.20000000001</v>
      </c>
    </row>
    <row r="109" spans="1:18" x14ac:dyDescent="0.25">
      <c r="A109" s="44">
        <v>2017</v>
      </c>
      <c r="B109" s="44" t="s">
        <v>123</v>
      </c>
      <c r="C109" s="44" t="s">
        <v>44</v>
      </c>
      <c r="D109" s="44" t="s">
        <v>125</v>
      </c>
      <c r="E109" s="44">
        <v>2594656</v>
      </c>
      <c r="F109" s="44"/>
      <c r="G109" s="44">
        <v>518931.20000000001</v>
      </c>
      <c r="Q109" s="41">
        <v>2612453</v>
      </c>
      <c r="R109" s="41">
        <f t="shared" si="1"/>
        <v>522490.60000000003</v>
      </c>
    </row>
    <row r="110" spans="1:18" x14ac:dyDescent="0.25">
      <c r="A110" s="43">
        <v>2017</v>
      </c>
      <c r="B110" s="43" t="s">
        <v>123</v>
      </c>
      <c r="C110" s="43" t="s">
        <v>44</v>
      </c>
      <c r="D110" s="43" t="s">
        <v>126</v>
      </c>
      <c r="E110" s="43">
        <v>2612453</v>
      </c>
      <c r="F110" s="43"/>
      <c r="G110" s="43">
        <v>522490.60000000003</v>
      </c>
      <c r="Q110" s="41">
        <v>2488823</v>
      </c>
      <c r="R110" s="41">
        <f t="shared" si="1"/>
        <v>497764.60000000003</v>
      </c>
    </row>
    <row r="111" spans="1:18" x14ac:dyDescent="0.25">
      <c r="A111" s="44">
        <v>2017</v>
      </c>
      <c r="B111" s="44" t="s">
        <v>123</v>
      </c>
      <c r="C111" s="44" t="s">
        <v>44</v>
      </c>
      <c r="D111" s="44" t="s">
        <v>127</v>
      </c>
      <c r="E111" s="44">
        <v>2488823</v>
      </c>
      <c r="F111" s="44"/>
      <c r="G111" s="44">
        <v>497764.60000000003</v>
      </c>
      <c r="Q111" s="41">
        <v>2131687</v>
      </c>
      <c r="R111" s="41">
        <f t="shared" si="1"/>
        <v>426337.4</v>
      </c>
    </row>
    <row r="112" spans="1:18" x14ac:dyDescent="0.25">
      <c r="A112" s="43">
        <v>2017</v>
      </c>
      <c r="B112" s="43" t="s">
        <v>123</v>
      </c>
      <c r="C112" s="43" t="s">
        <v>44</v>
      </c>
      <c r="D112" s="43" t="s">
        <v>128</v>
      </c>
      <c r="E112" s="43">
        <v>2131687</v>
      </c>
      <c r="F112" s="43"/>
      <c r="G112" s="43">
        <v>426337.4</v>
      </c>
      <c r="Q112" s="41">
        <v>1731088</v>
      </c>
      <c r="R112" s="41">
        <f t="shared" si="1"/>
        <v>346217.60000000003</v>
      </c>
    </row>
    <row r="113" spans="1:18" x14ac:dyDescent="0.25">
      <c r="A113" s="44">
        <v>2017</v>
      </c>
      <c r="B113" s="44" t="s">
        <v>123</v>
      </c>
      <c r="C113" s="44" t="s">
        <v>44</v>
      </c>
      <c r="D113" s="44" t="s">
        <v>129</v>
      </c>
      <c r="E113" s="44">
        <v>1731088</v>
      </c>
      <c r="F113" s="44"/>
      <c r="G113" s="44">
        <v>346217.60000000003</v>
      </c>
      <c r="Q113" s="41">
        <v>1398602</v>
      </c>
      <c r="R113" s="41">
        <f t="shared" si="1"/>
        <v>279720.40000000002</v>
      </c>
    </row>
    <row r="114" spans="1:18" x14ac:dyDescent="0.25">
      <c r="A114" s="43">
        <v>2017</v>
      </c>
      <c r="B114" s="43" t="s">
        <v>123</v>
      </c>
      <c r="C114" s="43" t="s">
        <v>44</v>
      </c>
      <c r="D114" s="43" t="s">
        <v>130</v>
      </c>
      <c r="E114" s="43">
        <v>1398602</v>
      </c>
      <c r="F114" s="43"/>
      <c r="G114" s="43">
        <v>279720.40000000002</v>
      </c>
      <c r="Q114" s="41">
        <v>1147992</v>
      </c>
      <c r="R114" s="41">
        <f t="shared" si="1"/>
        <v>229598.40000000002</v>
      </c>
    </row>
    <row r="115" spans="1:18" x14ac:dyDescent="0.25">
      <c r="A115" s="44">
        <v>2017</v>
      </c>
      <c r="B115" s="44" t="s">
        <v>123</v>
      </c>
      <c r="C115" s="44" t="s">
        <v>44</v>
      </c>
      <c r="D115" s="44" t="s">
        <v>131</v>
      </c>
      <c r="E115" s="44">
        <v>1147992</v>
      </c>
      <c r="F115" s="44"/>
      <c r="G115" s="44">
        <v>229598.40000000002</v>
      </c>
      <c r="Q115" s="41">
        <v>947123</v>
      </c>
      <c r="R115" s="41">
        <f t="shared" si="1"/>
        <v>189424.6</v>
      </c>
    </row>
    <row r="116" spans="1:18" x14ac:dyDescent="0.25">
      <c r="A116" s="43">
        <v>2017</v>
      </c>
      <c r="B116" s="43" t="s">
        <v>123</v>
      </c>
      <c r="C116" s="43" t="s">
        <v>44</v>
      </c>
      <c r="D116" s="43" t="s">
        <v>136</v>
      </c>
      <c r="E116" s="43">
        <v>947123</v>
      </c>
      <c r="F116" s="43"/>
      <c r="G116" s="43">
        <v>189424.6</v>
      </c>
      <c r="Q116" s="41">
        <v>2825703</v>
      </c>
      <c r="R116" s="41">
        <f t="shared" si="1"/>
        <v>565140.6</v>
      </c>
    </row>
    <row r="117" spans="1:18" x14ac:dyDescent="0.25">
      <c r="A117" s="44">
        <v>2017</v>
      </c>
      <c r="B117" s="44" t="s">
        <v>123</v>
      </c>
      <c r="C117" s="44" t="s">
        <v>43</v>
      </c>
      <c r="D117" s="44" t="s">
        <v>209</v>
      </c>
      <c r="E117" s="44">
        <v>2825703</v>
      </c>
      <c r="F117" s="44"/>
      <c r="G117" s="44">
        <v>565140.6</v>
      </c>
      <c r="Q117" s="41">
        <v>2719700</v>
      </c>
      <c r="R117" s="41">
        <f t="shared" si="1"/>
        <v>543940</v>
      </c>
    </row>
    <row r="118" spans="1:18" x14ac:dyDescent="0.25">
      <c r="A118" s="43">
        <v>2017</v>
      </c>
      <c r="B118" s="43" t="s">
        <v>123</v>
      </c>
      <c r="C118" s="43" t="s">
        <v>43</v>
      </c>
      <c r="D118" s="43" t="s">
        <v>134</v>
      </c>
      <c r="E118" s="43">
        <v>2719700</v>
      </c>
      <c r="F118" s="43"/>
      <c r="G118" s="43">
        <v>543940</v>
      </c>
      <c r="Q118" s="41">
        <v>2603685</v>
      </c>
      <c r="R118" s="41">
        <f t="shared" si="1"/>
        <v>520737</v>
      </c>
    </row>
    <row r="119" spans="1:18" x14ac:dyDescent="0.25">
      <c r="A119" s="44">
        <v>2017</v>
      </c>
      <c r="B119" s="44" t="s">
        <v>123</v>
      </c>
      <c r="C119" s="44" t="s">
        <v>43</v>
      </c>
      <c r="D119" s="44" t="s">
        <v>135</v>
      </c>
      <c r="E119" s="44">
        <v>2603685</v>
      </c>
      <c r="F119" s="44"/>
      <c r="G119" s="44">
        <v>520737</v>
      </c>
      <c r="Q119" s="41">
        <v>2555420</v>
      </c>
      <c r="R119" s="41">
        <f t="shared" si="1"/>
        <v>511084</v>
      </c>
    </row>
    <row r="120" spans="1:18" x14ac:dyDescent="0.25">
      <c r="A120" s="43">
        <v>2017</v>
      </c>
      <c r="B120" s="43" t="s">
        <v>123</v>
      </c>
      <c r="C120" s="43" t="s">
        <v>43</v>
      </c>
      <c r="D120" s="43" t="s">
        <v>124</v>
      </c>
      <c r="E120" s="43">
        <v>2555420</v>
      </c>
      <c r="F120" s="43"/>
      <c r="G120" s="43">
        <v>511084</v>
      </c>
      <c r="Q120" s="41">
        <v>2550570</v>
      </c>
      <c r="R120" s="41">
        <f t="shared" si="1"/>
        <v>510114</v>
      </c>
    </row>
    <row r="121" spans="1:18" x14ac:dyDescent="0.25">
      <c r="A121" s="44">
        <v>2017</v>
      </c>
      <c r="B121" s="44" t="s">
        <v>123</v>
      </c>
      <c r="C121" s="44" t="s">
        <v>43</v>
      </c>
      <c r="D121" s="44" t="s">
        <v>125</v>
      </c>
      <c r="E121" s="44">
        <v>2550570</v>
      </c>
      <c r="F121" s="44"/>
      <c r="G121" s="44">
        <v>510114</v>
      </c>
      <c r="Q121" s="41">
        <v>2550351</v>
      </c>
      <c r="R121" s="41">
        <f t="shared" si="1"/>
        <v>510070.2</v>
      </c>
    </row>
    <row r="122" spans="1:18" x14ac:dyDescent="0.25">
      <c r="A122" s="43">
        <v>2017</v>
      </c>
      <c r="B122" s="43" t="s">
        <v>123</v>
      </c>
      <c r="C122" s="43" t="s">
        <v>43</v>
      </c>
      <c r="D122" s="43" t="s">
        <v>126</v>
      </c>
      <c r="E122" s="43">
        <v>2550351</v>
      </c>
      <c r="F122" s="43"/>
      <c r="G122" s="43">
        <v>510070.2</v>
      </c>
      <c r="Q122" s="41">
        <v>2394266</v>
      </c>
      <c r="R122" s="41">
        <f t="shared" si="1"/>
        <v>478853.2</v>
      </c>
    </row>
    <row r="123" spans="1:18" x14ac:dyDescent="0.25">
      <c r="A123" s="44">
        <v>2017</v>
      </c>
      <c r="B123" s="44" t="s">
        <v>123</v>
      </c>
      <c r="C123" s="44" t="s">
        <v>43</v>
      </c>
      <c r="D123" s="44" t="s">
        <v>127</v>
      </c>
      <c r="E123" s="44">
        <v>2394266</v>
      </c>
      <c r="F123" s="44"/>
      <c r="G123" s="44">
        <v>478853.2</v>
      </c>
      <c r="Q123" s="41">
        <v>2039776</v>
      </c>
      <c r="R123" s="41">
        <f t="shared" si="1"/>
        <v>407955.20000000001</v>
      </c>
    </row>
    <row r="124" spans="1:18" x14ac:dyDescent="0.25">
      <c r="A124" s="43">
        <v>2017</v>
      </c>
      <c r="B124" s="43" t="s">
        <v>123</v>
      </c>
      <c r="C124" s="43" t="s">
        <v>43</v>
      </c>
      <c r="D124" s="43" t="s">
        <v>128</v>
      </c>
      <c r="E124" s="43">
        <v>2039776</v>
      </c>
      <c r="F124" s="43"/>
      <c r="G124" s="43">
        <v>407955.20000000001</v>
      </c>
      <c r="Q124" s="41">
        <v>1745050</v>
      </c>
      <c r="R124" s="41">
        <f t="shared" si="1"/>
        <v>349010</v>
      </c>
    </row>
    <row r="125" spans="1:18" x14ac:dyDescent="0.25">
      <c r="A125" s="44">
        <v>2017</v>
      </c>
      <c r="B125" s="44" t="s">
        <v>123</v>
      </c>
      <c r="C125" s="44" t="s">
        <v>43</v>
      </c>
      <c r="D125" s="44" t="s">
        <v>129</v>
      </c>
      <c r="E125" s="44">
        <v>1745050</v>
      </c>
      <c r="F125" s="44"/>
      <c r="G125" s="44">
        <v>349010</v>
      </c>
      <c r="Q125" s="41">
        <v>1541175</v>
      </c>
      <c r="R125" s="41">
        <f t="shared" si="1"/>
        <v>308235</v>
      </c>
    </row>
    <row r="126" spans="1:18" x14ac:dyDescent="0.25">
      <c r="A126" s="43">
        <v>2017</v>
      </c>
      <c r="B126" s="43" t="s">
        <v>123</v>
      </c>
      <c r="C126" s="43" t="s">
        <v>43</v>
      </c>
      <c r="D126" s="43" t="s">
        <v>130</v>
      </c>
      <c r="E126" s="43">
        <v>1541175</v>
      </c>
      <c r="F126" s="43"/>
      <c r="G126" s="43">
        <v>308235</v>
      </c>
      <c r="Q126" s="41">
        <v>1348848</v>
      </c>
      <c r="R126" s="41">
        <f t="shared" si="1"/>
        <v>269769.60000000003</v>
      </c>
    </row>
    <row r="127" spans="1:18" x14ac:dyDescent="0.25">
      <c r="A127" s="44">
        <v>2017</v>
      </c>
      <c r="B127" s="44" t="s">
        <v>123</v>
      </c>
      <c r="C127" s="44" t="s">
        <v>43</v>
      </c>
      <c r="D127" s="44" t="s">
        <v>131</v>
      </c>
      <c r="E127" s="44">
        <v>1348848</v>
      </c>
      <c r="F127" s="44"/>
      <c r="G127" s="44">
        <v>269769.60000000003</v>
      </c>
      <c r="Q127" s="41">
        <v>1160340</v>
      </c>
      <c r="R127" s="41">
        <f t="shared" si="1"/>
        <v>232068</v>
      </c>
    </row>
    <row r="128" spans="1:18" x14ac:dyDescent="0.25">
      <c r="A128" s="43">
        <v>2017</v>
      </c>
      <c r="B128" s="43" t="s">
        <v>123</v>
      </c>
      <c r="C128" s="43" t="s">
        <v>43</v>
      </c>
      <c r="D128" s="43" t="s">
        <v>136</v>
      </c>
      <c r="E128" s="43">
        <v>1160340</v>
      </c>
      <c r="F128" s="43"/>
      <c r="G128" s="43">
        <v>232068</v>
      </c>
    </row>
    <row r="129" spans="1:7" x14ac:dyDescent="0.25">
      <c r="A129" s="44"/>
      <c r="B129" s="44"/>
      <c r="C129" s="44"/>
      <c r="D129" s="44"/>
      <c r="E129" s="44"/>
      <c r="F129" s="44"/>
      <c r="G129" s="44"/>
    </row>
    <row r="130" spans="1:7" x14ac:dyDescent="0.25">
      <c r="A130" s="43"/>
      <c r="B130" s="43"/>
      <c r="C130" s="43"/>
      <c r="D130" s="43"/>
      <c r="E130" s="43"/>
      <c r="F130" s="43"/>
      <c r="G130" s="43"/>
    </row>
    <row r="131" spans="1:7" x14ac:dyDescent="0.25">
      <c r="A131" s="44"/>
      <c r="B131" s="44"/>
      <c r="C131" s="44"/>
      <c r="D131" s="44"/>
      <c r="E131" s="44"/>
      <c r="F131" s="44"/>
      <c r="G131" s="44"/>
    </row>
    <row r="132" spans="1:7" x14ac:dyDescent="0.25">
      <c r="A132" s="43"/>
      <c r="B132" s="43"/>
      <c r="C132" s="43"/>
      <c r="D132" s="43"/>
      <c r="E132" s="43"/>
      <c r="F132" s="43"/>
      <c r="G132" s="43"/>
    </row>
    <row r="133" spans="1:7" x14ac:dyDescent="0.25">
      <c r="A133" s="44"/>
      <c r="B133" s="44"/>
      <c r="C133" s="44"/>
      <c r="D133" s="44"/>
      <c r="E133" s="44"/>
      <c r="F133" s="44"/>
      <c r="G133" s="44"/>
    </row>
    <row r="134" spans="1:7" x14ac:dyDescent="0.25">
      <c r="A134" s="43"/>
      <c r="B134" s="43"/>
      <c r="C134" s="43"/>
      <c r="D134" s="43"/>
      <c r="E134" s="43"/>
      <c r="F134" s="43"/>
      <c r="G134" s="43"/>
    </row>
    <row r="135" spans="1:7" x14ac:dyDescent="0.25">
      <c r="A135" s="44"/>
      <c r="B135" s="44"/>
      <c r="C135" s="44"/>
      <c r="D135" s="44"/>
      <c r="E135" s="44"/>
      <c r="F135" s="44"/>
      <c r="G135" s="44"/>
    </row>
    <row r="136" spans="1:7" x14ac:dyDescent="0.25">
      <c r="A136" s="43"/>
      <c r="B136" s="43"/>
      <c r="C136" s="43"/>
      <c r="D136" s="43"/>
      <c r="E136" s="43"/>
      <c r="F136" s="43"/>
      <c r="G136" s="43"/>
    </row>
    <row r="137" spans="1:7" x14ac:dyDescent="0.25">
      <c r="A137" s="44"/>
      <c r="B137" s="44"/>
      <c r="C137" s="44"/>
      <c r="D137" s="44"/>
      <c r="E137" s="44"/>
      <c r="F137" s="44"/>
      <c r="G137" s="44"/>
    </row>
    <row r="138" spans="1:7" x14ac:dyDescent="0.25">
      <c r="A138" s="43"/>
      <c r="B138" s="43"/>
      <c r="C138" s="43"/>
      <c r="D138" s="43"/>
      <c r="E138" s="43"/>
      <c r="F138" s="43"/>
      <c r="G138" s="43"/>
    </row>
    <row r="139" spans="1:7" x14ac:dyDescent="0.25">
      <c r="A139" s="44"/>
      <c r="B139" s="44"/>
      <c r="C139" s="44"/>
      <c r="D139" s="44"/>
      <c r="E139" s="44"/>
      <c r="F139" s="44"/>
      <c r="G139" s="44"/>
    </row>
    <row r="140" spans="1:7" x14ac:dyDescent="0.25">
      <c r="A140" s="43"/>
      <c r="B140" s="43"/>
      <c r="C140" s="43"/>
      <c r="D140" s="43"/>
      <c r="E140" s="43"/>
      <c r="F140" s="43"/>
      <c r="G140" s="43"/>
    </row>
    <row r="141" spans="1:7" x14ac:dyDescent="0.25">
      <c r="A141" s="44"/>
      <c r="B141" s="44"/>
      <c r="C141" s="44"/>
      <c r="D141" s="44"/>
      <c r="E141" s="44"/>
      <c r="F141" s="44"/>
      <c r="G141" s="44"/>
    </row>
    <row r="142" spans="1:7" x14ac:dyDescent="0.25">
      <c r="A142" s="43"/>
      <c r="B142" s="43"/>
      <c r="C142" s="43"/>
      <c r="D142" s="43"/>
      <c r="E142" s="43"/>
      <c r="F142" s="43"/>
      <c r="G142" s="43"/>
    </row>
    <row r="143" spans="1:7" x14ac:dyDescent="0.25">
      <c r="A143" s="44"/>
      <c r="B143" s="44"/>
      <c r="C143" s="44"/>
      <c r="D143" s="44"/>
      <c r="E143" s="44"/>
      <c r="F143" s="44"/>
      <c r="G143" s="44"/>
    </row>
    <row r="144" spans="1:7" x14ac:dyDescent="0.25">
      <c r="A144" s="43"/>
      <c r="B144" s="43"/>
      <c r="C144" s="43"/>
      <c r="D144" s="43"/>
      <c r="E144" s="43"/>
      <c r="F144" s="43"/>
      <c r="G144" s="43"/>
    </row>
    <row r="145" spans="1:7" x14ac:dyDescent="0.25">
      <c r="A145" s="44"/>
      <c r="B145" s="44"/>
      <c r="C145" s="44"/>
      <c r="D145" s="44"/>
      <c r="E145" s="44"/>
      <c r="F145" s="44"/>
      <c r="G145" s="44"/>
    </row>
    <row r="146" spans="1:7" x14ac:dyDescent="0.25">
      <c r="A146" s="43"/>
      <c r="B146" s="43"/>
      <c r="C146" s="43"/>
      <c r="D146" s="43"/>
      <c r="E146" s="43"/>
      <c r="F146" s="43"/>
      <c r="G146" s="43"/>
    </row>
    <row r="147" spans="1:7" x14ac:dyDescent="0.25">
      <c r="A147" s="44"/>
      <c r="B147" s="44"/>
      <c r="C147" s="44"/>
      <c r="D147" s="44"/>
      <c r="E147" s="44"/>
      <c r="F147" s="44"/>
      <c r="G147" s="44"/>
    </row>
    <row r="148" spans="1:7" x14ac:dyDescent="0.25">
      <c r="A148" s="43"/>
      <c r="B148" s="43"/>
      <c r="C148" s="43"/>
      <c r="D148" s="43"/>
      <c r="E148" s="43"/>
      <c r="F148" s="43"/>
      <c r="G148" s="43"/>
    </row>
    <row r="149" spans="1:7" x14ac:dyDescent="0.25">
      <c r="A149" s="44"/>
      <c r="B149" s="44"/>
      <c r="C149" s="44"/>
      <c r="D149" s="44"/>
      <c r="E149" s="44"/>
      <c r="F149" s="44"/>
      <c r="G149" s="44"/>
    </row>
    <row r="150" spans="1:7" x14ac:dyDescent="0.25">
      <c r="A150" s="43"/>
      <c r="B150" s="43"/>
      <c r="C150" s="43"/>
      <c r="D150" s="43"/>
      <c r="E150" s="43"/>
      <c r="F150" s="43"/>
      <c r="G150" s="43"/>
    </row>
    <row r="151" spans="1:7" x14ac:dyDescent="0.25">
      <c r="A151" s="44"/>
      <c r="B151" s="44"/>
      <c r="C151" s="44"/>
      <c r="D151" s="44"/>
      <c r="E151" s="44"/>
      <c r="F151" s="44"/>
      <c r="G151" s="44"/>
    </row>
    <row r="152" spans="1:7" x14ac:dyDescent="0.25">
      <c r="A152" s="43"/>
      <c r="B152" s="43"/>
      <c r="C152" s="43"/>
      <c r="D152" s="43"/>
      <c r="E152" s="43"/>
      <c r="F152" s="43"/>
      <c r="G152" s="43"/>
    </row>
    <row r="153" spans="1:7" x14ac:dyDescent="0.25">
      <c r="A153" s="44"/>
      <c r="B153" s="44"/>
      <c r="C153" s="44"/>
      <c r="D153" s="44"/>
      <c r="E153" s="44"/>
      <c r="F153" s="44"/>
      <c r="G153" s="44"/>
    </row>
    <row r="154" spans="1:7" x14ac:dyDescent="0.25">
      <c r="A154" s="43"/>
      <c r="B154" s="43"/>
      <c r="C154" s="43"/>
      <c r="D154" s="43"/>
      <c r="E154" s="43"/>
      <c r="F154" s="43"/>
      <c r="G154" s="43"/>
    </row>
    <row r="155" spans="1:7" x14ac:dyDescent="0.25">
      <c r="A155" s="44"/>
      <c r="B155" s="44"/>
      <c r="C155" s="44"/>
      <c r="D155" s="44"/>
      <c r="E155" s="44"/>
      <c r="F155" s="44"/>
      <c r="G155" s="44"/>
    </row>
    <row r="156" spans="1:7" x14ac:dyDescent="0.25">
      <c r="A156" s="43"/>
      <c r="B156" s="43"/>
      <c r="C156" s="43"/>
      <c r="D156" s="43"/>
      <c r="E156" s="43"/>
      <c r="F156" s="43"/>
      <c r="G156" s="43"/>
    </row>
    <row r="157" spans="1:7" x14ac:dyDescent="0.25">
      <c r="A157" s="44"/>
      <c r="B157" s="44"/>
      <c r="C157" s="44"/>
      <c r="D157" s="44"/>
      <c r="E157" s="44"/>
      <c r="F157" s="44"/>
      <c r="G157" s="44"/>
    </row>
    <row r="158" spans="1:7" x14ac:dyDescent="0.25">
      <c r="A158" s="43"/>
      <c r="B158" s="43"/>
      <c r="C158" s="43"/>
      <c r="D158" s="43"/>
      <c r="E158" s="43"/>
      <c r="F158" s="43"/>
      <c r="G158" s="43"/>
    </row>
    <row r="159" spans="1:7" x14ac:dyDescent="0.25">
      <c r="A159" s="44"/>
      <c r="B159" s="44"/>
      <c r="C159" s="44"/>
      <c r="D159" s="44"/>
      <c r="E159" s="44"/>
      <c r="F159" s="44"/>
      <c r="G159" s="44"/>
    </row>
    <row r="160" spans="1:7" x14ac:dyDescent="0.25">
      <c r="A160" s="43"/>
      <c r="B160" s="43"/>
      <c r="C160" s="43"/>
      <c r="D160" s="43"/>
      <c r="E160" s="43"/>
      <c r="F160" s="43"/>
      <c r="G160" s="43"/>
    </row>
    <row r="161" spans="1:7" x14ac:dyDescent="0.25">
      <c r="A161" s="44"/>
      <c r="B161" s="44"/>
      <c r="C161" s="44"/>
      <c r="D161" s="44"/>
      <c r="E161" s="44"/>
      <c r="F161" s="44"/>
      <c r="G161" s="44"/>
    </row>
    <row r="162" spans="1:7" x14ac:dyDescent="0.25">
      <c r="A162" s="43"/>
      <c r="B162" s="43"/>
      <c r="C162" s="43"/>
      <c r="D162" s="43"/>
      <c r="E162" s="43"/>
      <c r="F162" s="43"/>
      <c r="G162" s="43"/>
    </row>
    <row r="163" spans="1:7" x14ac:dyDescent="0.25">
      <c r="A163" s="44"/>
      <c r="B163" s="44"/>
      <c r="C163" s="44"/>
      <c r="D163" s="44"/>
      <c r="E163" s="44"/>
      <c r="F163" s="44"/>
      <c r="G163" s="44"/>
    </row>
    <row r="164" spans="1:7" x14ac:dyDescent="0.25">
      <c r="A164" s="43"/>
      <c r="B164" s="43"/>
      <c r="C164" s="43"/>
      <c r="D164" s="43"/>
      <c r="E164" s="43"/>
      <c r="F164" s="43"/>
      <c r="G164" s="43"/>
    </row>
    <row r="165" spans="1:7" x14ac:dyDescent="0.25">
      <c r="A165" s="44"/>
      <c r="B165" s="44"/>
      <c r="C165" s="44"/>
      <c r="D165" s="44"/>
      <c r="E165" s="44"/>
      <c r="F165" s="44"/>
      <c r="G165" s="44"/>
    </row>
    <row r="166" spans="1:7" x14ac:dyDescent="0.25">
      <c r="A166" s="43"/>
      <c r="B166" s="43"/>
      <c r="C166" s="43"/>
      <c r="D166" s="43"/>
      <c r="E166" s="43"/>
      <c r="F166" s="43"/>
      <c r="G166" s="43"/>
    </row>
    <row r="167" spans="1:7" x14ac:dyDescent="0.25">
      <c r="A167" s="44"/>
      <c r="B167" s="44"/>
      <c r="C167" s="44"/>
      <c r="D167" s="44"/>
      <c r="E167" s="44"/>
      <c r="F167" s="44"/>
      <c r="G167" s="44"/>
    </row>
    <row r="168" spans="1:7" x14ac:dyDescent="0.25">
      <c r="A168" s="43"/>
      <c r="B168" s="43"/>
      <c r="C168" s="43"/>
      <c r="D168" s="43"/>
      <c r="E168" s="43"/>
      <c r="F168" s="43"/>
      <c r="G168" s="43"/>
    </row>
    <row r="169" spans="1:7" x14ac:dyDescent="0.25">
      <c r="A169" s="44"/>
      <c r="B169" s="44"/>
      <c r="C169" s="44"/>
      <c r="D169" s="44"/>
      <c r="E169" s="44"/>
      <c r="F169" s="44"/>
      <c r="G169" s="44"/>
    </row>
    <row r="170" spans="1:7" x14ac:dyDescent="0.25">
      <c r="A170" s="43"/>
      <c r="B170" s="43"/>
      <c r="C170" s="43"/>
      <c r="D170" s="43"/>
      <c r="E170" s="43"/>
      <c r="F170" s="43"/>
      <c r="G170" s="43"/>
    </row>
    <row r="171" spans="1:7" x14ac:dyDescent="0.25">
      <c r="A171" s="44"/>
      <c r="B171" s="44"/>
      <c r="C171" s="44"/>
      <c r="D171" s="44"/>
      <c r="E171" s="44"/>
      <c r="F171" s="44"/>
      <c r="G171" s="44"/>
    </row>
    <row r="172" spans="1:7" x14ac:dyDescent="0.25">
      <c r="A172" s="43"/>
      <c r="B172" s="43"/>
      <c r="C172" s="43"/>
      <c r="D172" s="43"/>
      <c r="E172" s="43"/>
      <c r="F172" s="43"/>
      <c r="G172" s="43"/>
    </row>
    <row r="173" spans="1:7" x14ac:dyDescent="0.25">
      <c r="A173" s="44"/>
      <c r="B173" s="44"/>
      <c r="C173" s="44"/>
      <c r="D173" s="44"/>
      <c r="E173" s="44"/>
      <c r="F173" s="44"/>
      <c r="G173" s="44"/>
    </row>
    <row r="174" spans="1:7" x14ac:dyDescent="0.25">
      <c r="A174" s="43"/>
      <c r="B174" s="43"/>
      <c r="C174" s="43"/>
      <c r="D174" s="43"/>
      <c r="E174" s="43"/>
      <c r="F174" s="43"/>
      <c r="G174" s="43"/>
    </row>
    <row r="175" spans="1:7" x14ac:dyDescent="0.25">
      <c r="A175" s="44"/>
      <c r="B175" s="44"/>
      <c r="C175" s="44"/>
      <c r="D175" s="44"/>
      <c r="E175" s="44"/>
      <c r="F175" s="44"/>
      <c r="G175" s="44"/>
    </row>
    <row r="176" spans="1:7" x14ac:dyDescent="0.25">
      <c r="A176" s="43"/>
      <c r="B176" s="43"/>
      <c r="C176" s="43"/>
      <c r="D176" s="43"/>
      <c r="E176" s="43"/>
      <c r="F176" s="43"/>
      <c r="G176" s="43"/>
    </row>
    <row r="177" spans="1:7" x14ac:dyDescent="0.25">
      <c r="A177" s="44"/>
      <c r="B177" s="44"/>
      <c r="C177" s="44"/>
      <c r="D177" s="44"/>
      <c r="E177" s="44"/>
      <c r="F177" s="44"/>
      <c r="G177" s="44"/>
    </row>
    <row r="178" spans="1:7" x14ac:dyDescent="0.25">
      <c r="A178" s="43"/>
      <c r="B178" s="43"/>
      <c r="C178" s="43"/>
      <c r="D178" s="43"/>
      <c r="E178" s="43"/>
      <c r="F178" s="43"/>
      <c r="G178" s="43"/>
    </row>
    <row r="179" spans="1:7" x14ac:dyDescent="0.25">
      <c r="A179" s="44"/>
      <c r="B179" s="44"/>
      <c r="C179" s="44"/>
      <c r="D179" s="44"/>
      <c r="E179" s="44"/>
      <c r="F179" s="44"/>
      <c r="G179" s="44"/>
    </row>
    <row r="180" spans="1:7" x14ac:dyDescent="0.25">
      <c r="A180" s="43"/>
      <c r="B180" s="43"/>
      <c r="C180" s="43"/>
      <c r="D180" s="43"/>
      <c r="E180" s="43"/>
      <c r="F180" s="43"/>
      <c r="G180" s="43"/>
    </row>
    <row r="181" spans="1:7" x14ac:dyDescent="0.25">
      <c r="A181" s="44"/>
      <c r="B181" s="44"/>
      <c r="C181" s="44"/>
      <c r="D181" s="44"/>
      <c r="E181" s="44"/>
      <c r="F181" s="44"/>
      <c r="G181" s="44"/>
    </row>
    <row r="182" spans="1:7" x14ac:dyDescent="0.25">
      <c r="A182" s="43"/>
      <c r="B182" s="43"/>
      <c r="C182" s="43"/>
      <c r="D182" s="43"/>
      <c r="E182" s="43"/>
      <c r="F182" s="43"/>
      <c r="G182" s="43"/>
    </row>
    <row r="183" spans="1:7" x14ac:dyDescent="0.25">
      <c r="A183" s="44"/>
      <c r="B183" s="44"/>
      <c r="C183" s="44"/>
      <c r="D183" s="44"/>
      <c r="E183" s="44"/>
      <c r="F183" s="44"/>
      <c r="G183" s="44"/>
    </row>
    <row r="184" spans="1:7" x14ac:dyDescent="0.25">
      <c r="A184" s="43"/>
      <c r="B184" s="43"/>
      <c r="C184" s="43"/>
      <c r="D184" s="43"/>
      <c r="E184" s="43"/>
      <c r="F184" s="43"/>
      <c r="G184" s="43"/>
    </row>
    <row r="185" spans="1:7" x14ac:dyDescent="0.25">
      <c r="A185" s="44"/>
      <c r="B185" s="44"/>
      <c r="C185" s="44"/>
      <c r="D185" s="44"/>
      <c r="E185" s="44"/>
      <c r="F185" s="44"/>
      <c r="G185" s="44"/>
    </row>
    <row r="186" spans="1:7" x14ac:dyDescent="0.25">
      <c r="A186" s="43"/>
      <c r="B186" s="43"/>
      <c r="C186" s="43"/>
      <c r="D186" s="43"/>
      <c r="E186" s="43"/>
      <c r="F186" s="43"/>
      <c r="G186" s="43"/>
    </row>
    <row r="187" spans="1:7" x14ac:dyDescent="0.25">
      <c r="A187" s="44"/>
      <c r="B187" s="44"/>
      <c r="C187" s="44"/>
      <c r="D187" s="44"/>
      <c r="E187" s="44"/>
      <c r="F187" s="44"/>
      <c r="G187" s="44"/>
    </row>
    <row r="188" spans="1:7" x14ac:dyDescent="0.25">
      <c r="A188" s="43"/>
      <c r="B188" s="43"/>
      <c r="C188" s="43"/>
      <c r="D188" s="43"/>
      <c r="E188" s="43"/>
      <c r="F188" s="43"/>
      <c r="G188" s="43"/>
    </row>
    <row r="189" spans="1:7" x14ac:dyDescent="0.25">
      <c r="A189" s="44"/>
      <c r="B189" s="44"/>
      <c r="C189" s="44"/>
      <c r="D189" s="44"/>
      <c r="E189" s="44"/>
      <c r="F189" s="44"/>
      <c r="G189" s="44"/>
    </row>
    <row r="190" spans="1:7" x14ac:dyDescent="0.25">
      <c r="A190" s="43"/>
      <c r="B190" s="43"/>
      <c r="C190" s="43"/>
      <c r="D190" s="43"/>
      <c r="E190" s="43"/>
      <c r="F190" s="43"/>
      <c r="G190" s="43"/>
    </row>
    <row r="191" spans="1:7" x14ac:dyDescent="0.25">
      <c r="A191" s="44"/>
      <c r="B191" s="44"/>
      <c r="C191" s="44"/>
      <c r="D191" s="44"/>
      <c r="E191" s="44"/>
      <c r="F191" s="44"/>
      <c r="G191" s="44"/>
    </row>
    <row r="192" spans="1:7" x14ac:dyDescent="0.25">
      <c r="A192" s="43"/>
      <c r="B192" s="43"/>
      <c r="C192" s="43"/>
      <c r="D192" s="43"/>
      <c r="E192" s="43"/>
      <c r="F192" s="43"/>
      <c r="G192" s="43"/>
    </row>
    <row r="193" spans="1:7" x14ac:dyDescent="0.25">
      <c r="A193" s="44"/>
      <c r="B193" s="44"/>
      <c r="C193" s="44"/>
      <c r="D193" s="44"/>
      <c r="E193" s="44"/>
      <c r="F193" s="44"/>
      <c r="G193" s="44"/>
    </row>
    <row r="194" spans="1:7" x14ac:dyDescent="0.25">
      <c r="A194" s="43"/>
      <c r="B194" s="43"/>
      <c r="C194" s="43"/>
      <c r="D194" s="43"/>
      <c r="E194" s="43"/>
      <c r="F194" s="43"/>
      <c r="G194" s="43"/>
    </row>
    <row r="195" spans="1:7" x14ac:dyDescent="0.25">
      <c r="A195" s="44"/>
      <c r="B195" s="44"/>
      <c r="C195" s="44"/>
      <c r="D195" s="44"/>
      <c r="E195" s="44"/>
      <c r="F195" s="44"/>
      <c r="G195" s="44"/>
    </row>
    <row r="196" spans="1:7" x14ac:dyDescent="0.25">
      <c r="A196" s="43"/>
      <c r="B196" s="43"/>
      <c r="C196" s="43"/>
      <c r="D196" s="43"/>
      <c r="E196" s="43"/>
      <c r="F196" s="43"/>
      <c r="G196" s="43"/>
    </row>
    <row r="197" spans="1:7" x14ac:dyDescent="0.25">
      <c r="A197" s="44"/>
      <c r="B197" s="44"/>
      <c r="C197" s="44"/>
      <c r="D197" s="44"/>
      <c r="E197" s="44"/>
      <c r="F197" s="44"/>
      <c r="G197" s="44"/>
    </row>
    <row r="198" spans="1:7" x14ac:dyDescent="0.25">
      <c r="A198" s="43"/>
      <c r="B198" s="43"/>
      <c r="C198" s="43"/>
      <c r="D198" s="43"/>
      <c r="E198" s="43"/>
      <c r="F198" s="43"/>
      <c r="G198" s="43"/>
    </row>
    <row r="199" spans="1:7" x14ac:dyDescent="0.25">
      <c r="A199" s="44"/>
      <c r="B199" s="44"/>
      <c r="C199" s="44"/>
      <c r="D199" s="44"/>
      <c r="E199" s="44"/>
      <c r="F199" s="44"/>
      <c r="G199" s="44"/>
    </row>
    <row r="200" spans="1:7" x14ac:dyDescent="0.25">
      <c r="A200" s="43"/>
      <c r="B200" s="43"/>
      <c r="C200" s="43"/>
      <c r="D200" s="43"/>
      <c r="E200" s="43"/>
      <c r="F200" s="43"/>
      <c r="G200" s="43"/>
    </row>
    <row r="201" spans="1:7" x14ac:dyDescent="0.25">
      <c r="A201" s="44"/>
      <c r="B201" s="44"/>
      <c r="C201" s="44"/>
      <c r="D201" s="44"/>
      <c r="E201" s="44"/>
      <c r="F201" s="44"/>
      <c r="G201" s="44"/>
    </row>
    <row r="202" spans="1:7" x14ac:dyDescent="0.25">
      <c r="A202" s="43"/>
      <c r="B202" s="43"/>
      <c r="C202" s="43"/>
      <c r="D202" s="43"/>
      <c r="E202" s="43"/>
      <c r="F202" s="43"/>
      <c r="G202" s="43"/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1008"/>
  <sheetViews>
    <sheetView workbookViewId="0">
      <selection activeCell="J12" sqref="J12"/>
    </sheetView>
  </sheetViews>
  <sheetFormatPr defaultColWidth="8.5703125" defaultRowHeight="15" x14ac:dyDescent="0.25"/>
  <cols>
    <col min="1" max="1" width="12.85546875" style="41" bestFit="1" customWidth="1"/>
    <col min="2" max="16384" width="8.5703125" style="41"/>
  </cols>
  <sheetData>
    <row r="1" spans="1:18" x14ac:dyDescent="0.25">
      <c r="A1" s="40" t="s">
        <v>111</v>
      </c>
      <c r="B1" s="40" t="s">
        <v>148</v>
      </c>
      <c r="G1" s="42" t="s">
        <v>117</v>
      </c>
    </row>
    <row r="3" spans="1:18" x14ac:dyDescent="0.25">
      <c r="A3" s="42" t="s">
        <v>112</v>
      </c>
    </row>
    <row r="4" spans="1:18" x14ac:dyDescent="0.25">
      <c r="A4" s="43" t="s">
        <v>86</v>
      </c>
      <c r="B4" s="43" t="s">
        <v>118</v>
      </c>
      <c r="C4" s="43" t="s">
        <v>119</v>
      </c>
      <c r="D4" s="43" t="s">
        <v>120</v>
      </c>
      <c r="E4" s="43"/>
      <c r="F4" s="43"/>
      <c r="G4" s="43"/>
      <c r="H4" s="43"/>
      <c r="I4" s="43"/>
      <c r="J4" s="43"/>
      <c r="K4" s="43"/>
      <c r="L4" s="43"/>
    </row>
    <row r="5" spans="1:18" x14ac:dyDescent="0.25">
      <c r="A5" s="42" t="s">
        <v>113</v>
      </c>
    </row>
    <row r="6" spans="1:18" x14ac:dyDescent="0.25">
      <c r="A6" s="45" t="s">
        <v>114</v>
      </c>
      <c r="B6" s="44"/>
      <c r="C6" s="44" t="s">
        <v>116</v>
      </c>
      <c r="D6" s="44"/>
      <c r="E6" s="44"/>
      <c r="F6" s="44"/>
      <c r="G6" s="44"/>
      <c r="H6" s="44"/>
      <c r="I6" s="44"/>
      <c r="J6" s="44"/>
      <c r="K6" s="44"/>
      <c r="L6" s="44"/>
    </row>
    <row r="8" spans="1:18" x14ac:dyDescent="0.25">
      <c r="A8" s="40" t="s">
        <v>86</v>
      </c>
      <c r="B8" s="40" t="s">
        <v>118</v>
      </c>
      <c r="C8" s="40" t="s">
        <v>119</v>
      </c>
      <c r="D8" s="40" t="s">
        <v>120</v>
      </c>
      <c r="E8" s="40" t="s">
        <v>148</v>
      </c>
      <c r="F8" s="40" t="s">
        <v>114</v>
      </c>
      <c r="G8" s="40" t="s">
        <v>116</v>
      </c>
      <c r="J8" s="42" t="s">
        <v>121</v>
      </c>
      <c r="Q8" s="41">
        <v>2713</v>
      </c>
      <c r="R8" s="41">
        <f>Q8*0.2</f>
        <v>542.6</v>
      </c>
    </row>
    <row r="9" spans="1:18" x14ac:dyDescent="0.25">
      <c r="A9" s="44">
        <v>2001</v>
      </c>
      <c r="B9" s="44" t="s">
        <v>123</v>
      </c>
      <c r="C9" s="44" t="s">
        <v>44</v>
      </c>
      <c r="D9" s="44" t="s">
        <v>132</v>
      </c>
      <c r="E9" s="44">
        <v>2713</v>
      </c>
      <c r="F9" s="44"/>
      <c r="G9" s="44">
        <v>542.6</v>
      </c>
      <c r="J9" s="42" t="s">
        <v>149</v>
      </c>
      <c r="Q9" s="41">
        <v>3543</v>
      </c>
      <c r="R9" s="41">
        <f t="shared" ref="R9:R41" si="0">Q9*0.2</f>
        <v>708.6</v>
      </c>
    </row>
    <row r="10" spans="1:18" x14ac:dyDescent="0.25">
      <c r="A10" s="43">
        <v>2001</v>
      </c>
      <c r="B10" s="43" t="s">
        <v>123</v>
      </c>
      <c r="C10" s="43" t="s">
        <v>43</v>
      </c>
      <c r="D10" s="43" t="s">
        <v>132</v>
      </c>
      <c r="E10" s="43">
        <v>3543</v>
      </c>
      <c r="F10" s="43"/>
      <c r="G10" s="43">
        <v>708.6</v>
      </c>
      <c r="Q10" s="41">
        <v>5768</v>
      </c>
      <c r="R10" s="41">
        <f t="shared" si="0"/>
        <v>1153.6000000000001</v>
      </c>
    </row>
    <row r="11" spans="1:18" x14ac:dyDescent="0.25">
      <c r="A11" s="44">
        <v>2002</v>
      </c>
      <c r="B11" s="44" t="s">
        <v>123</v>
      </c>
      <c r="C11" s="44" t="s">
        <v>44</v>
      </c>
      <c r="D11" s="44" t="s">
        <v>132</v>
      </c>
      <c r="E11" s="44">
        <v>5768</v>
      </c>
      <c r="F11" s="44"/>
      <c r="G11" s="44">
        <v>1153.6000000000001</v>
      </c>
      <c r="Q11" s="41">
        <v>7586</v>
      </c>
      <c r="R11" s="41">
        <f t="shared" si="0"/>
        <v>1517.2</v>
      </c>
    </row>
    <row r="12" spans="1:18" x14ac:dyDescent="0.25">
      <c r="A12" s="43">
        <v>2002</v>
      </c>
      <c r="B12" s="43" t="s">
        <v>123</v>
      </c>
      <c r="C12" s="43" t="s">
        <v>43</v>
      </c>
      <c r="D12" s="43" t="s">
        <v>132</v>
      </c>
      <c r="E12" s="43">
        <v>7586</v>
      </c>
      <c r="F12" s="43"/>
      <c r="G12" s="43">
        <v>1517.2</v>
      </c>
      <c r="Q12" s="41">
        <v>9321</v>
      </c>
      <c r="R12" s="41">
        <f t="shared" si="0"/>
        <v>1864.2</v>
      </c>
    </row>
    <row r="13" spans="1:18" x14ac:dyDescent="0.25">
      <c r="A13" s="44">
        <v>2003</v>
      </c>
      <c r="B13" s="44" t="s">
        <v>123</v>
      </c>
      <c r="C13" s="44" t="s">
        <v>44</v>
      </c>
      <c r="D13" s="44" t="s">
        <v>132</v>
      </c>
      <c r="E13" s="44">
        <v>9321</v>
      </c>
      <c r="F13" s="44"/>
      <c r="G13" s="44">
        <v>1864.2</v>
      </c>
      <c r="Q13" s="41">
        <v>12313</v>
      </c>
      <c r="R13" s="41">
        <f t="shared" si="0"/>
        <v>2462.6000000000004</v>
      </c>
    </row>
    <row r="14" spans="1:18" x14ac:dyDescent="0.25">
      <c r="A14" s="43">
        <v>2003</v>
      </c>
      <c r="B14" s="43" t="s">
        <v>123</v>
      </c>
      <c r="C14" s="43" t="s">
        <v>43</v>
      </c>
      <c r="D14" s="43" t="s">
        <v>132</v>
      </c>
      <c r="E14" s="43">
        <v>12313</v>
      </c>
      <c r="F14" s="43"/>
      <c r="G14" s="43">
        <v>2462.6000000000004</v>
      </c>
      <c r="Q14" s="41">
        <v>17717</v>
      </c>
      <c r="R14" s="41">
        <f t="shared" si="0"/>
        <v>3543.4</v>
      </c>
    </row>
    <row r="15" spans="1:18" x14ac:dyDescent="0.25">
      <c r="A15" s="44">
        <v>2004</v>
      </c>
      <c r="B15" s="44" t="s">
        <v>123</v>
      </c>
      <c r="C15" s="44" t="s">
        <v>44</v>
      </c>
      <c r="D15" s="44" t="s">
        <v>132</v>
      </c>
      <c r="E15" s="44">
        <v>17717</v>
      </c>
      <c r="F15" s="44"/>
      <c r="G15" s="44">
        <v>3543.4</v>
      </c>
      <c r="Q15" s="41">
        <v>24423</v>
      </c>
      <c r="R15" s="41">
        <f t="shared" si="0"/>
        <v>4884.6000000000004</v>
      </c>
    </row>
    <row r="16" spans="1:18" x14ac:dyDescent="0.25">
      <c r="A16" s="43">
        <v>2004</v>
      </c>
      <c r="B16" s="43" t="s">
        <v>123</v>
      </c>
      <c r="C16" s="43" t="s">
        <v>43</v>
      </c>
      <c r="D16" s="43" t="s">
        <v>132</v>
      </c>
      <c r="E16" s="43">
        <v>24423</v>
      </c>
      <c r="F16" s="43"/>
      <c r="G16" s="43">
        <v>4884.6000000000004</v>
      </c>
      <c r="Q16" s="41">
        <v>34874</v>
      </c>
      <c r="R16" s="41">
        <f t="shared" si="0"/>
        <v>6974.8</v>
      </c>
    </row>
    <row r="17" spans="1:18" x14ac:dyDescent="0.25">
      <c r="A17" s="44">
        <v>2005</v>
      </c>
      <c r="B17" s="44" t="s">
        <v>123</v>
      </c>
      <c r="C17" s="44" t="s">
        <v>44</v>
      </c>
      <c r="D17" s="44" t="s">
        <v>132</v>
      </c>
      <c r="E17" s="44">
        <v>34874</v>
      </c>
      <c r="F17" s="44"/>
      <c r="G17" s="44">
        <v>6974.8</v>
      </c>
      <c r="Q17" s="41">
        <v>59240</v>
      </c>
      <c r="R17" s="41">
        <f t="shared" si="0"/>
        <v>11848</v>
      </c>
    </row>
    <row r="18" spans="1:18" x14ac:dyDescent="0.25">
      <c r="A18" s="43">
        <v>2005</v>
      </c>
      <c r="B18" s="43" t="s">
        <v>123</v>
      </c>
      <c r="C18" s="43" t="s">
        <v>43</v>
      </c>
      <c r="D18" s="43" t="s">
        <v>132</v>
      </c>
      <c r="E18" s="43">
        <v>59240</v>
      </c>
      <c r="F18" s="43"/>
      <c r="G18" s="43">
        <v>11848</v>
      </c>
      <c r="Q18" s="41">
        <v>66629</v>
      </c>
      <c r="R18" s="41">
        <f t="shared" si="0"/>
        <v>13325.800000000001</v>
      </c>
    </row>
    <row r="19" spans="1:18" x14ac:dyDescent="0.25">
      <c r="A19" s="44">
        <v>2006</v>
      </c>
      <c r="B19" s="44" t="s">
        <v>123</v>
      </c>
      <c r="C19" s="44" t="s">
        <v>44</v>
      </c>
      <c r="D19" s="44" t="s">
        <v>132</v>
      </c>
      <c r="E19" s="44">
        <v>66629</v>
      </c>
      <c r="F19" s="44"/>
      <c r="G19" s="44">
        <v>13325.800000000001</v>
      </c>
      <c r="Q19" s="41">
        <v>123308</v>
      </c>
      <c r="R19" s="41">
        <f t="shared" si="0"/>
        <v>24661.600000000002</v>
      </c>
    </row>
    <row r="20" spans="1:18" x14ac:dyDescent="0.25">
      <c r="A20" s="43">
        <v>2006</v>
      </c>
      <c r="B20" s="43" t="s">
        <v>123</v>
      </c>
      <c r="C20" s="43" t="s">
        <v>43</v>
      </c>
      <c r="D20" s="43" t="s">
        <v>132</v>
      </c>
      <c r="E20" s="43">
        <v>123308</v>
      </c>
      <c r="F20" s="43"/>
      <c r="G20" s="43">
        <v>24661.600000000002</v>
      </c>
      <c r="Q20" s="41">
        <v>118977</v>
      </c>
      <c r="R20" s="41">
        <f t="shared" si="0"/>
        <v>23795.4</v>
      </c>
    </row>
    <row r="21" spans="1:18" x14ac:dyDescent="0.25">
      <c r="A21" s="44">
        <v>2007</v>
      </c>
      <c r="B21" s="44" t="s">
        <v>123</v>
      </c>
      <c r="C21" s="44" t="s">
        <v>44</v>
      </c>
      <c r="D21" s="44" t="s">
        <v>132</v>
      </c>
      <c r="E21" s="44">
        <v>118977</v>
      </c>
      <c r="F21" s="44"/>
      <c r="G21" s="44">
        <v>23795.4</v>
      </c>
      <c r="Q21" s="41">
        <v>228753</v>
      </c>
      <c r="R21" s="41">
        <f t="shared" si="0"/>
        <v>45750.600000000006</v>
      </c>
    </row>
    <row r="22" spans="1:18" x14ac:dyDescent="0.25">
      <c r="A22" s="43">
        <v>2007</v>
      </c>
      <c r="B22" s="43" t="s">
        <v>123</v>
      </c>
      <c r="C22" s="43" t="s">
        <v>43</v>
      </c>
      <c r="D22" s="43" t="s">
        <v>132</v>
      </c>
      <c r="E22" s="43">
        <v>228753</v>
      </c>
      <c r="F22" s="43"/>
      <c r="G22" s="43">
        <v>45750.600000000006</v>
      </c>
      <c r="Q22" s="41">
        <v>186564</v>
      </c>
      <c r="R22" s="41">
        <f t="shared" si="0"/>
        <v>37312.800000000003</v>
      </c>
    </row>
    <row r="23" spans="1:18" x14ac:dyDescent="0.25">
      <c r="A23" s="44">
        <v>2008</v>
      </c>
      <c r="B23" s="44" t="s">
        <v>123</v>
      </c>
      <c r="C23" s="44" t="s">
        <v>44</v>
      </c>
      <c r="D23" s="44" t="s">
        <v>132</v>
      </c>
      <c r="E23" s="44">
        <v>186564</v>
      </c>
      <c r="F23" s="44"/>
      <c r="G23" s="44">
        <v>37312.800000000003</v>
      </c>
      <c r="Q23" s="41">
        <v>367389</v>
      </c>
      <c r="R23" s="41">
        <f t="shared" si="0"/>
        <v>73477.8</v>
      </c>
    </row>
    <row r="24" spans="1:18" x14ac:dyDescent="0.25">
      <c r="A24" s="43">
        <v>2008</v>
      </c>
      <c r="B24" s="43" t="s">
        <v>123</v>
      </c>
      <c r="C24" s="43" t="s">
        <v>43</v>
      </c>
      <c r="D24" s="43" t="s">
        <v>132</v>
      </c>
      <c r="E24" s="43">
        <v>367389</v>
      </c>
      <c r="F24" s="43"/>
      <c r="G24" s="43">
        <v>73477.8</v>
      </c>
      <c r="Q24" s="41">
        <v>277931</v>
      </c>
      <c r="R24" s="41">
        <f t="shared" si="0"/>
        <v>55586.200000000004</v>
      </c>
    </row>
    <row r="25" spans="1:18" x14ac:dyDescent="0.25">
      <c r="A25" s="44">
        <v>2009</v>
      </c>
      <c r="B25" s="44" t="s">
        <v>123</v>
      </c>
      <c r="C25" s="44" t="s">
        <v>44</v>
      </c>
      <c r="D25" s="44" t="s">
        <v>132</v>
      </c>
      <c r="E25" s="44">
        <v>277931</v>
      </c>
      <c r="F25" s="44"/>
      <c r="G25" s="44">
        <v>55586.200000000004</v>
      </c>
      <c r="Q25" s="41">
        <v>548206</v>
      </c>
      <c r="R25" s="41">
        <f t="shared" si="0"/>
        <v>109641.20000000001</v>
      </c>
    </row>
    <row r="26" spans="1:18" x14ac:dyDescent="0.25">
      <c r="A26" s="43">
        <v>2009</v>
      </c>
      <c r="B26" s="43" t="s">
        <v>123</v>
      </c>
      <c r="C26" s="43" t="s">
        <v>43</v>
      </c>
      <c r="D26" s="43" t="s">
        <v>132</v>
      </c>
      <c r="E26" s="43">
        <v>548206</v>
      </c>
      <c r="F26" s="43"/>
      <c r="G26" s="43">
        <v>109641.20000000001</v>
      </c>
      <c r="Q26" s="41">
        <v>402000</v>
      </c>
      <c r="R26" s="41">
        <f t="shared" si="0"/>
        <v>80400</v>
      </c>
    </row>
    <row r="27" spans="1:18" x14ac:dyDescent="0.25">
      <c r="A27" s="44">
        <v>2010</v>
      </c>
      <c r="B27" s="44" t="s">
        <v>123</v>
      </c>
      <c r="C27" s="44" t="s">
        <v>44</v>
      </c>
      <c r="D27" s="44" t="s">
        <v>132</v>
      </c>
      <c r="E27" s="44">
        <v>402000</v>
      </c>
      <c r="F27" s="44"/>
      <c r="G27" s="44">
        <v>80400</v>
      </c>
      <c r="Q27" s="41">
        <v>781477</v>
      </c>
      <c r="R27" s="41">
        <f t="shared" si="0"/>
        <v>156295.4</v>
      </c>
    </row>
    <row r="28" spans="1:18" x14ac:dyDescent="0.25">
      <c r="A28" s="43">
        <v>2010</v>
      </c>
      <c r="B28" s="43" t="s">
        <v>123</v>
      </c>
      <c r="C28" s="43" t="s">
        <v>43</v>
      </c>
      <c r="D28" s="43" t="s">
        <v>132</v>
      </c>
      <c r="E28" s="43">
        <v>781477</v>
      </c>
      <c r="F28" s="43"/>
      <c r="G28" s="43">
        <v>156295.4</v>
      </c>
      <c r="Q28" s="41">
        <v>558131</v>
      </c>
      <c r="R28" s="41">
        <f t="shared" si="0"/>
        <v>111626.20000000001</v>
      </c>
    </row>
    <row r="29" spans="1:18" x14ac:dyDescent="0.25">
      <c r="A29" s="44">
        <v>2011</v>
      </c>
      <c r="B29" s="44" t="s">
        <v>123</v>
      </c>
      <c r="C29" s="44" t="s">
        <v>44</v>
      </c>
      <c r="D29" s="44" t="s">
        <v>132</v>
      </c>
      <c r="E29" s="44">
        <v>558131</v>
      </c>
      <c r="F29" s="44"/>
      <c r="G29" s="44">
        <v>111626.20000000001</v>
      </c>
      <c r="Q29" s="41">
        <v>1095411</v>
      </c>
      <c r="R29" s="41">
        <f t="shared" si="0"/>
        <v>219082.2</v>
      </c>
    </row>
    <row r="30" spans="1:18" x14ac:dyDescent="0.25">
      <c r="A30" s="43">
        <v>2011</v>
      </c>
      <c r="B30" s="43" t="s">
        <v>123</v>
      </c>
      <c r="C30" s="43" t="s">
        <v>43</v>
      </c>
      <c r="D30" s="43" t="s">
        <v>132</v>
      </c>
      <c r="E30" s="43">
        <v>1095411</v>
      </c>
      <c r="F30" s="43"/>
      <c r="G30" s="43">
        <v>219082.2</v>
      </c>
      <c r="Q30" s="41">
        <v>713294</v>
      </c>
      <c r="R30" s="41">
        <f t="shared" si="0"/>
        <v>142658.80000000002</v>
      </c>
    </row>
    <row r="31" spans="1:18" x14ac:dyDescent="0.25">
      <c r="A31" s="44">
        <v>2012</v>
      </c>
      <c r="B31" s="44" t="s">
        <v>123</v>
      </c>
      <c r="C31" s="44" t="s">
        <v>44</v>
      </c>
      <c r="D31" s="44" t="s">
        <v>132</v>
      </c>
      <c r="E31" s="44">
        <v>713294</v>
      </c>
      <c r="F31" s="44"/>
      <c r="G31" s="44">
        <v>142658.80000000002</v>
      </c>
      <c r="Q31" s="41">
        <v>1415016</v>
      </c>
      <c r="R31" s="41">
        <f t="shared" si="0"/>
        <v>283003.2</v>
      </c>
    </row>
    <row r="32" spans="1:18" x14ac:dyDescent="0.25">
      <c r="A32" s="43">
        <v>2012</v>
      </c>
      <c r="B32" s="43" t="s">
        <v>123</v>
      </c>
      <c r="C32" s="43" t="s">
        <v>43</v>
      </c>
      <c r="D32" s="43" t="s">
        <v>132</v>
      </c>
      <c r="E32" s="43">
        <v>1415016</v>
      </c>
      <c r="F32" s="43"/>
      <c r="G32" s="43">
        <v>283003.2</v>
      </c>
      <c r="Q32" s="41">
        <v>876749</v>
      </c>
      <c r="R32" s="41">
        <f t="shared" si="0"/>
        <v>175349.80000000002</v>
      </c>
    </row>
    <row r="33" spans="1:18" x14ac:dyDescent="0.25">
      <c r="A33" s="44">
        <v>2013</v>
      </c>
      <c r="B33" s="44" t="s">
        <v>123</v>
      </c>
      <c r="C33" s="44" t="s">
        <v>44</v>
      </c>
      <c r="D33" s="44" t="s">
        <v>132</v>
      </c>
      <c r="E33" s="44">
        <v>876749</v>
      </c>
      <c r="F33" s="44"/>
      <c r="G33" s="44">
        <v>175349.80000000002</v>
      </c>
      <c r="Q33" s="41">
        <v>1732515</v>
      </c>
      <c r="R33" s="41">
        <f t="shared" si="0"/>
        <v>346503</v>
      </c>
    </row>
    <row r="34" spans="1:18" x14ac:dyDescent="0.25">
      <c r="A34" s="43">
        <v>2013</v>
      </c>
      <c r="B34" s="43" t="s">
        <v>123</v>
      </c>
      <c r="C34" s="43" t="s">
        <v>43</v>
      </c>
      <c r="D34" s="43" t="s">
        <v>132</v>
      </c>
      <c r="E34" s="43">
        <v>1732515</v>
      </c>
      <c r="F34" s="43"/>
      <c r="G34" s="43">
        <v>346503</v>
      </c>
      <c r="Q34" s="41">
        <v>1013499</v>
      </c>
      <c r="R34" s="41">
        <f t="shared" si="0"/>
        <v>202699.80000000002</v>
      </c>
    </row>
    <row r="35" spans="1:18" x14ac:dyDescent="0.25">
      <c r="A35" s="44">
        <v>2014</v>
      </c>
      <c r="B35" s="44" t="s">
        <v>123</v>
      </c>
      <c r="C35" s="44" t="s">
        <v>44</v>
      </c>
      <c r="D35" s="44" t="s">
        <v>132</v>
      </c>
      <c r="E35" s="44">
        <v>1013499</v>
      </c>
      <c r="F35" s="44"/>
      <c r="G35" s="44">
        <v>202699.80000000002</v>
      </c>
      <c r="Q35" s="41">
        <v>2003014</v>
      </c>
      <c r="R35" s="41">
        <f t="shared" si="0"/>
        <v>400602.80000000005</v>
      </c>
    </row>
    <row r="36" spans="1:18" x14ac:dyDescent="0.25">
      <c r="A36" s="43">
        <v>2014</v>
      </c>
      <c r="B36" s="43" t="s">
        <v>123</v>
      </c>
      <c r="C36" s="43" t="s">
        <v>43</v>
      </c>
      <c r="D36" s="43" t="s">
        <v>132</v>
      </c>
      <c r="E36" s="43">
        <v>2003014</v>
      </c>
      <c r="F36" s="43"/>
      <c r="G36" s="43">
        <v>400602.80000000005</v>
      </c>
      <c r="Q36" s="41">
        <v>1130063</v>
      </c>
      <c r="R36" s="41">
        <f t="shared" si="0"/>
        <v>226012.6</v>
      </c>
    </row>
    <row r="37" spans="1:18" x14ac:dyDescent="0.25">
      <c r="A37" s="44">
        <v>2015</v>
      </c>
      <c r="B37" s="44" t="s">
        <v>123</v>
      </c>
      <c r="C37" s="44" t="s">
        <v>44</v>
      </c>
      <c r="D37" s="44" t="s">
        <v>132</v>
      </c>
      <c r="E37" s="44">
        <v>1130063</v>
      </c>
      <c r="F37" s="44"/>
      <c r="G37" s="44">
        <v>226012.6</v>
      </c>
      <c r="Q37" s="41">
        <v>2239669</v>
      </c>
      <c r="R37" s="41">
        <f t="shared" si="0"/>
        <v>447933.80000000005</v>
      </c>
    </row>
    <row r="38" spans="1:18" x14ac:dyDescent="0.25">
      <c r="A38" s="43">
        <v>2015</v>
      </c>
      <c r="B38" s="43" t="s">
        <v>123</v>
      </c>
      <c r="C38" s="43" t="s">
        <v>43</v>
      </c>
      <c r="D38" s="43" t="s">
        <v>132</v>
      </c>
      <c r="E38" s="43">
        <v>2239669</v>
      </c>
      <c r="F38" s="43"/>
      <c r="G38" s="43">
        <v>447933.80000000005</v>
      </c>
      <c r="Q38" s="41">
        <v>1238815</v>
      </c>
      <c r="R38" s="41">
        <f t="shared" si="0"/>
        <v>247763</v>
      </c>
    </row>
    <row r="39" spans="1:18" x14ac:dyDescent="0.25">
      <c r="A39" s="44">
        <v>2016</v>
      </c>
      <c r="B39" s="44" t="s">
        <v>123</v>
      </c>
      <c r="C39" s="44" t="s">
        <v>44</v>
      </c>
      <c r="D39" s="44" t="s">
        <v>132</v>
      </c>
      <c r="E39" s="44">
        <v>1238815</v>
      </c>
      <c r="F39" s="44"/>
      <c r="G39" s="44">
        <v>247763</v>
      </c>
      <c r="Q39" s="41">
        <v>2518238</v>
      </c>
      <c r="R39" s="41">
        <f t="shared" si="0"/>
        <v>503647.60000000003</v>
      </c>
    </row>
    <row r="40" spans="1:18" x14ac:dyDescent="0.25">
      <c r="A40" s="43">
        <v>2016</v>
      </c>
      <c r="B40" s="43" t="s">
        <v>123</v>
      </c>
      <c r="C40" s="43" t="s">
        <v>43</v>
      </c>
      <c r="D40" s="43" t="s">
        <v>132</v>
      </c>
      <c r="E40" s="43">
        <v>2518238</v>
      </c>
      <c r="F40" s="43"/>
      <c r="G40" s="43">
        <v>503647.60000000003</v>
      </c>
      <c r="Q40" s="41">
        <v>1403702</v>
      </c>
      <c r="R40" s="41">
        <f t="shared" si="0"/>
        <v>280740.40000000002</v>
      </c>
    </row>
    <row r="41" spans="1:18" x14ac:dyDescent="0.25">
      <c r="A41" s="44">
        <v>2017</v>
      </c>
      <c r="B41" s="44" t="s">
        <v>123</v>
      </c>
      <c r="C41" s="44" t="s">
        <v>44</v>
      </c>
      <c r="D41" s="44" t="s">
        <v>132</v>
      </c>
      <c r="E41" s="44">
        <v>1403702</v>
      </c>
      <c r="F41" s="44"/>
      <c r="G41" s="44">
        <v>280740.40000000002</v>
      </c>
      <c r="Q41" s="41">
        <v>2998170</v>
      </c>
      <c r="R41" s="41">
        <f t="shared" si="0"/>
        <v>599634</v>
      </c>
    </row>
    <row r="42" spans="1:18" x14ac:dyDescent="0.25">
      <c r="A42" s="43">
        <v>2017</v>
      </c>
      <c r="B42" s="43" t="s">
        <v>123</v>
      </c>
      <c r="C42" s="43" t="s">
        <v>43</v>
      </c>
      <c r="D42" s="43" t="s">
        <v>132</v>
      </c>
      <c r="E42" s="43">
        <v>2998170</v>
      </c>
      <c r="F42" s="43"/>
      <c r="G42" s="43">
        <v>599634</v>
      </c>
    </row>
    <row r="43" spans="1:18" x14ac:dyDescent="0.25">
      <c r="A43" s="44"/>
      <c r="B43" s="44"/>
      <c r="C43" s="44"/>
      <c r="D43" s="44"/>
      <c r="E43" s="44"/>
      <c r="F43" s="44"/>
      <c r="G43" s="44"/>
    </row>
    <row r="44" spans="1:18" x14ac:dyDescent="0.25">
      <c r="A44" s="43"/>
      <c r="B44" s="43"/>
      <c r="C44" s="43"/>
      <c r="D44" s="43"/>
      <c r="E44" s="43"/>
      <c r="F44" s="43"/>
      <c r="G44" s="43"/>
    </row>
    <row r="45" spans="1:18" x14ac:dyDescent="0.25">
      <c r="A45" s="44"/>
      <c r="B45" s="44"/>
      <c r="C45" s="44"/>
      <c r="D45" s="44"/>
      <c r="E45" s="44"/>
      <c r="F45" s="44"/>
      <c r="G45" s="44"/>
    </row>
    <row r="46" spans="1:18" x14ac:dyDescent="0.25">
      <c r="A46" s="43"/>
      <c r="B46" s="43"/>
      <c r="C46" s="43"/>
      <c r="D46" s="43"/>
      <c r="E46" s="43"/>
      <c r="F46" s="43"/>
      <c r="G46" s="43"/>
    </row>
    <row r="47" spans="1:18" x14ac:dyDescent="0.25">
      <c r="A47" s="44"/>
      <c r="B47" s="44"/>
      <c r="C47" s="44"/>
      <c r="D47" s="44"/>
      <c r="E47" s="44"/>
      <c r="F47" s="44"/>
      <c r="G47" s="44"/>
    </row>
    <row r="48" spans="1:18" x14ac:dyDescent="0.25">
      <c r="A48" s="43"/>
      <c r="B48" s="43"/>
      <c r="C48" s="43"/>
      <c r="D48" s="43"/>
      <c r="E48" s="43"/>
      <c r="F48" s="43"/>
      <c r="G48" s="43"/>
    </row>
    <row r="49" spans="1:7" x14ac:dyDescent="0.25">
      <c r="A49" s="44"/>
      <c r="B49" s="44"/>
      <c r="C49" s="44"/>
      <c r="D49" s="44"/>
      <c r="E49" s="44"/>
      <c r="F49" s="44"/>
      <c r="G49" s="44"/>
    </row>
    <row r="50" spans="1:7" x14ac:dyDescent="0.25">
      <c r="A50" s="43"/>
      <c r="B50" s="43"/>
      <c r="C50" s="43"/>
      <c r="D50" s="43"/>
      <c r="E50" s="43"/>
      <c r="F50" s="43"/>
      <c r="G50" s="43"/>
    </row>
    <row r="51" spans="1:7" x14ac:dyDescent="0.25">
      <c r="A51" s="44"/>
      <c r="B51" s="44"/>
      <c r="C51" s="44"/>
      <c r="D51" s="44"/>
      <c r="E51" s="44"/>
      <c r="F51" s="44"/>
      <c r="G51" s="44"/>
    </row>
    <row r="52" spans="1:7" x14ac:dyDescent="0.25">
      <c r="A52" s="43"/>
      <c r="B52" s="43"/>
      <c r="C52" s="43"/>
      <c r="D52" s="43"/>
      <c r="E52" s="43"/>
      <c r="F52" s="43"/>
      <c r="G52" s="43"/>
    </row>
    <row r="53" spans="1:7" x14ac:dyDescent="0.25">
      <c r="A53" s="44"/>
      <c r="B53" s="44"/>
      <c r="C53" s="44"/>
      <c r="D53" s="44"/>
      <c r="E53" s="44"/>
      <c r="F53" s="44"/>
      <c r="G53" s="44"/>
    </row>
    <row r="54" spans="1:7" x14ac:dyDescent="0.25">
      <c r="A54" s="43"/>
      <c r="B54" s="43"/>
      <c r="C54" s="43"/>
      <c r="D54" s="43"/>
      <c r="E54" s="43"/>
      <c r="F54" s="43"/>
      <c r="G54" s="43"/>
    </row>
    <row r="55" spans="1:7" x14ac:dyDescent="0.25">
      <c r="A55" s="44"/>
      <c r="B55" s="44"/>
      <c r="C55" s="44"/>
      <c r="D55" s="44"/>
      <c r="E55" s="44"/>
      <c r="F55" s="44"/>
      <c r="G55" s="44"/>
    </row>
    <row r="56" spans="1:7" x14ac:dyDescent="0.25">
      <c r="A56" s="43"/>
      <c r="B56" s="43"/>
      <c r="C56" s="43"/>
      <c r="D56" s="43"/>
      <c r="E56" s="43"/>
      <c r="F56" s="43"/>
      <c r="G56" s="43"/>
    </row>
    <row r="57" spans="1:7" x14ac:dyDescent="0.25">
      <c r="A57" s="44"/>
      <c r="B57" s="44"/>
      <c r="C57" s="44"/>
      <c r="D57" s="44"/>
      <c r="E57" s="44"/>
      <c r="F57" s="44"/>
      <c r="G57" s="44"/>
    </row>
    <row r="58" spans="1:7" x14ac:dyDescent="0.25">
      <c r="A58" s="43"/>
      <c r="B58" s="43"/>
      <c r="C58" s="43"/>
      <c r="D58" s="43"/>
      <c r="E58" s="43"/>
      <c r="F58" s="43"/>
      <c r="G58" s="43"/>
    </row>
    <row r="59" spans="1:7" x14ac:dyDescent="0.25">
      <c r="A59" s="44"/>
      <c r="B59" s="44"/>
      <c r="C59" s="44"/>
      <c r="D59" s="44"/>
      <c r="E59" s="44"/>
      <c r="F59" s="44"/>
      <c r="G59" s="44"/>
    </row>
    <row r="60" spans="1:7" x14ac:dyDescent="0.25">
      <c r="A60" s="43"/>
      <c r="B60" s="43"/>
      <c r="C60" s="43"/>
      <c r="D60" s="43"/>
      <c r="E60" s="43"/>
      <c r="F60" s="43"/>
      <c r="G60" s="43"/>
    </row>
    <row r="61" spans="1:7" x14ac:dyDescent="0.25">
      <c r="A61" s="44"/>
      <c r="B61" s="44"/>
      <c r="C61" s="44"/>
      <c r="D61" s="44"/>
      <c r="E61" s="44"/>
      <c r="F61" s="44"/>
      <c r="G61" s="44"/>
    </row>
    <row r="62" spans="1:7" x14ac:dyDescent="0.25">
      <c r="A62" s="43"/>
      <c r="B62" s="43"/>
      <c r="C62" s="43"/>
      <c r="D62" s="43"/>
      <c r="E62" s="43"/>
      <c r="F62" s="43"/>
      <c r="G62" s="43"/>
    </row>
    <row r="63" spans="1:7" x14ac:dyDescent="0.25">
      <c r="A63" s="44"/>
      <c r="B63" s="44"/>
      <c r="C63" s="44"/>
      <c r="D63" s="44"/>
      <c r="E63" s="44"/>
      <c r="F63" s="44"/>
      <c r="G63" s="44"/>
    </row>
    <row r="64" spans="1:7" x14ac:dyDescent="0.25">
      <c r="A64" s="43"/>
      <c r="B64" s="43"/>
      <c r="C64" s="43"/>
      <c r="D64" s="43"/>
      <c r="E64" s="43"/>
      <c r="F64" s="43"/>
      <c r="G64" s="43"/>
    </row>
    <row r="65" spans="1:7" x14ac:dyDescent="0.25">
      <c r="A65" s="44"/>
      <c r="B65" s="44"/>
      <c r="C65" s="44"/>
      <c r="D65" s="44"/>
      <c r="E65" s="44"/>
      <c r="F65" s="44"/>
      <c r="G65" s="44"/>
    </row>
    <row r="66" spans="1:7" x14ac:dyDescent="0.25">
      <c r="A66" s="43"/>
      <c r="B66" s="43"/>
      <c r="C66" s="43"/>
      <c r="D66" s="43"/>
      <c r="E66" s="43"/>
      <c r="F66" s="43"/>
      <c r="G66" s="43"/>
    </row>
    <row r="67" spans="1:7" x14ac:dyDescent="0.25">
      <c r="A67" s="44"/>
      <c r="B67" s="44"/>
      <c r="C67" s="44"/>
      <c r="D67" s="44"/>
      <c r="E67" s="44"/>
      <c r="F67" s="44"/>
      <c r="G67" s="44"/>
    </row>
    <row r="68" spans="1:7" x14ac:dyDescent="0.25">
      <c r="A68" s="43"/>
      <c r="B68" s="43"/>
      <c r="C68" s="43"/>
      <c r="D68" s="43"/>
      <c r="E68" s="43"/>
      <c r="F68" s="43"/>
      <c r="G68" s="43"/>
    </row>
    <row r="69" spans="1:7" x14ac:dyDescent="0.25">
      <c r="A69" s="44"/>
      <c r="B69" s="44"/>
      <c r="C69" s="44"/>
      <c r="D69" s="44"/>
      <c r="E69" s="44"/>
      <c r="F69" s="44"/>
      <c r="G69" s="44"/>
    </row>
    <row r="70" spans="1:7" x14ac:dyDescent="0.25">
      <c r="A70" s="43"/>
      <c r="B70" s="43"/>
      <c r="C70" s="43"/>
      <c r="D70" s="43"/>
      <c r="E70" s="43"/>
      <c r="F70" s="43"/>
      <c r="G70" s="43"/>
    </row>
    <row r="71" spans="1:7" x14ac:dyDescent="0.25">
      <c r="A71" s="44"/>
      <c r="B71" s="44"/>
      <c r="C71" s="44"/>
      <c r="D71" s="44"/>
      <c r="E71" s="44"/>
      <c r="F71" s="44"/>
      <c r="G71" s="44"/>
    </row>
    <row r="72" spans="1:7" x14ac:dyDescent="0.25">
      <c r="A72" s="43"/>
      <c r="B72" s="43"/>
      <c r="C72" s="43"/>
      <c r="D72" s="43"/>
      <c r="E72" s="43"/>
      <c r="F72" s="43"/>
      <c r="G72" s="43"/>
    </row>
    <row r="73" spans="1:7" x14ac:dyDescent="0.25">
      <c r="A73" s="44"/>
      <c r="B73" s="44"/>
      <c r="C73" s="44"/>
      <c r="D73" s="44"/>
      <c r="E73" s="44"/>
      <c r="F73" s="44"/>
      <c r="G73" s="44"/>
    </row>
    <row r="74" spans="1:7" x14ac:dyDescent="0.25">
      <c r="A74" s="43"/>
      <c r="B74" s="43"/>
      <c r="C74" s="43"/>
      <c r="D74" s="43"/>
      <c r="E74" s="43"/>
      <c r="F74" s="43"/>
      <c r="G74" s="43"/>
    </row>
    <row r="75" spans="1:7" x14ac:dyDescent="0.25">
      <c r="A75" s="44"/>
      <c r="B75" s="44"/>
      <c r="C75" s="44"/>
      <c r="D75" s="44"/>
      <c r="E75" s="44"/>
      <c r="F75" s="44"/>
      <c r="G75" s="44"/>
    </row>
    <row r="76" spans="1:7" x14ac:dyDescent="0.25">
      <c r="A76" s="43"/>
      <c r="B76" s="43"/>
      <c r="C76" s="43"/>
      <c r="D76" s="43"/>
      <c r="E76" s="43"/>
      <c r="F76" s="43"/>
      <c r="G76" s="43"/>
    </row>
    <row r="77" spans="1:7" x14ac:dyDescent="0.25">
      <c r="A77" s="44"/>
      <c r="B77" s="44"/>
      <c r="C77" s="44"/>
      <c r="D77" s="44"/>
      <c r="E77" s="44"/>
      <c r="F77" s="44"/>
      <c r="G77" s="44"/>
    </row>
    <row r="78" spans="1:7" x14ac:dyDescent="0.25">
      <c r="A78" s="43"/>
      <c r="B78" s="43"/>
      <c r="C78" s="43"/>
      <c r="D78" s="43"/>
      <c r="E78" s="43"/>
      <c r="F78" s="43"/>
      <c r="G78" s="43"/>
    </row>
    <row r="79" spans="1:7" x14ac:dyDescent="0.25">
      <c r="A79" s="44"/>
      <c r="B79" s="44"/>
      <c r="C79" s="44"/>
      <c r="D79" s="44"/>
      <c r="E79" s="44"/>
      <c r="F79" s="44"/>
      <c r="G79" s="44"/>
    </row>
    <row r="80" spans="1:7" x14ac:dyDescent="0.25">
      <c r="A80" s="43"/>
      <c r="B80" s="43"/>
      <c r="C80" s="43"/>
      <c r="D80" s="43"/>
      <c r="E80" s="43"/>
      <c r="F80" s="43"/>
      <c r="G80" s="43"/>
    </row>
    <row r="81" spans="1:7" x14ac:dyDescent="0.25">
      <c r="A81" s="44"/>
      <c r="B81" s="44"/>
      <c r="C81" s="44"/>
      <c r="D81" s="44"/>
      <c r="E81" s="44"/>
      <c r="F81" s="44"/>
      <c r="G81" s="44"/>
    </row>
    <row r="82" spans="1:7" x14ac:dyDescent="0.25">
      <c r="A82" s="43"/>
      <c r="B82" s="43"/>
      <c r="C82" s="43"/>
      <c r="D82" s="43"/>
      <c r="E82" s="43"/>
      <c r="F82" s="43"/>
      <c r="G82" s="43"/>
    </row>
    <row r="83" spans="1:7" x14ac:dyDescent="0.25">
      <c r="A83" s="44"/>
      <c r="B83" s="44"/>
      <c r="C83" s="44"/>
      <c r="D83" s="44"/>
      <c r="E83" s="44"/>
      <c r="F83" s="44"/>
      <c r="G83" s="44"/>
    </row>
    <row r="84" spans="1:7" x14ac:dyDescent="0.25">
      <c r="A84" s="43"/>
      <c r="B84" s="43"/>
      <c r="C84" s="43"/>
      <c r="D84" s="43"/>
      <c r="E84" s="43"/>
      <c r="F84" s="43"/>
      <c r="G84" s="43"/>
    </row>
    <row r="85" spans="1:7" x14ac:dyDescent="0.25">
      <c r="A85" s="44"/>
      <c r="B85" s="44"/>
      <c r="C85" s="44"/>
      <c r="D85" s="44"/>
      <c r="E85" s="44"/>
      <c r="F85" s="44"/>
      <c r="G85" s="44"/>
    </row>
    <row r="86" spans="1:7" x14ac:dyDescent="0.25">
      <c r="A86" s="43"/>
      <c r="B86" s="43"/>
      <c r="C86" s="43"/>
      <c r="D86" s="43"/>
      <c r="E86" s="43"/>
      <c r="F86" s="43"/>
      <c r="G86" s="43"/>
    </row>
    <row r="87" spans="1:7" x14ac:dyDescent="0.25">
      <c r="A87" s="44"/>
      <c r="B87" s="44"/>
      <c r="C87" s="44"/>
      <c r="D87" s="44"/>
      <c r="E87" s="44"/>
      <c r="F87" s="44"/>
      <c r="G87" s="44"/>
    </row>
    <row r="88" spans="1:7" x14ac:dyDescent="0.25">
      <c r="A88" s="43"/>
      <c r="B88" s="43"/>
      <c r="C88" s="43"/>
      <c r="D88" s="43"/>
      <c r="E88" s="43"/>
      <c r="F88" s="43"/>
      <c r="G88" s="43"/>
    </row>
    <row r="89" spans="1:7" x14ac:dyDescent="0.25">
      <c r="A89" s="44"/>
      <c r="B89" s="44"/>
      <c r="C89" s="44"/>
      <c r="D89" s="44"/>
      <c r="E89" s="44"/>
      <c r="F89" s="44"/>
      <c r="G89" s="44"/>
    </row>
    <row r="90" spans="1:7" x14ac:dyDescent="0.25">
      <c r="A90" s="43"/>
      <c r="B90" s="43"/>
      <c r="C90" s="43"/>
      <c r="D90" s="43"/>
      <c r="E90" s="43"/>
      <c r="F90" s="43"/>
      <c r="G90" s="43"/>
    </row>
    <row r="91" spans="1:7" x14ac:dyDescent="0.25">
      <c r="A91" s="44"/>
      <c r="B91" s="44"/>
      <c r="C91" s="44"/>
      <c r="D91" s="44"/>
      <c r="E91" s="44"/>
      <c r="F91" s="44"/>
      <c r="G91" s="44"/>
    </row>
    <row r="92" spans="1:7" x14ac:dyDescent="0.25">
      <c r="A92" s="43"/>
      <c r="B92" s="43"/>
      <c r="C92" s="43"/>
      <c r="D92" s="43"/>
      <c r="E92" s="43"/>
      <c r="F92" s="43"/>
      <c r="G92" s="43"/>
    </row>
    <row r="93" spans="1:7" x14ac:dyDescent="0.25">
      <c r="A93" s="44"/>
      <c r="B93" s="44"/>
      <c r="C93" s="44"/>
      <c r="D93" s="44"/>
      <c r="E93" s="44"/>
      <c r="F93" s="44"/>
      <c r="G93" s="44"/>
    </row>
    <row r="94" spans="1:7" x14ac:dyDescent="0.25">
      <c r="A94" s="43"/>
      <c r="B94" s="43"/>
      <c r="C94" s="43"/>
      <c r="D94" s="43"/>
      <c r="E94" s="43"/>
      <c r="F94" s="43"/>
      <c r="G94" s="43"/>
    </row>
    <row r="95" spans="1:7" x14ac:dyDescent="0.25">
      <c r="A95" s="44"/>
      <c r="B95" s="44"/>
      <c r="C95" s="44"/>
      <c r="D95" s="44"/>
      <c r="E95" s="44"/>
      <c r="F95" s="44"/>
      <c r="G95" s="44"/>
    </row>
    <row r="96" spans="1:7" x14ac:dyDescent="0.25">
      <c r="A96" s="43"/>
      <c r="B96" s="43"/>
      <c r="C96" s="43"/>
      <c r="D96" s="43"/>
      <c r="E96" s="43"/>
      <c r="F96" s="43"/>
      <c r="G96" s="43"/>
    </row>
    <row r="97" spans="1:7" x14ac:dyDescent="0.25">
      <c r="A97" s="44"/>
      <c r="B97" s="44"/>
      <c r="C97" s="44"/>
      <c r="D97" s="44"/>
      <c r="E97" s="44"/>
      <c r="F97" s="44"/>
      <c r="G97" s="44"/>
    </row>
    <row r="98" spans="1:7" x14ac:dyDescent="0.25">
      <c r="A98" s="43"/>
      <c r="B98" s="43"/>
      <c r="C98" s="43"/>
      <c r="D98" s="43"/>
      <c r="E98" s="43"/>
      <c r="F98" s="43"/>
      <c r="G98" s="43"/>
    </row>
    <row r="99" spans="1:7" x14ac:dyDescent="0.25">
      <c r="A99" s="44"/>
      <c r="B99" s="44"/>
      <c r="C99" s="44"/>
      <c r="D99" s="44"/>
      <c r="E99" s="44"/>
      <c r="F99" s="44"/>
      <c r="G99" s="44"/>
    </row>
    <row r="100" spans="1:7" x14ac:dyDescent="0.25">
      <c r="A100" s="43"/>
      <c r="B100" s="43"/>
      <c r="C100" s="43"/>
      <c r="D100" s="43"/>
      <c r="E100" s="43"/>
      <c r="F100" s="43"/>
      <c r="G100" s="43"/>
    </row>
    <row r="101" spans="1:7" x14ac:dyDescent="0.25">
      <c r="A101" s="44"/>
      <c r="B101" s="44"/>
      <c r="C101" s="44"/>
      <c r="D101" s="44"/>
      <c r="E101" s="44"/>
      <c r="F101" s="44"/>
      <c r="G101" s="44"/>
    </row>
    <row r="102" spans="1:7" x14ac:dyDescent="0.25">
      <c r="A102" s="43"/>
      <c r="B102" s="43"/>
      <c r="C102" s="43"/>
      <c r="D102" s="43"/>
      <c r="E102" s="43"/>
      <c r="F102" s="43"/>
      <c r="G102" s="43"/>
    </row>
    <row r="103" spans="1:7" x14ac:dyDescent="0.25">
      <c r="A103" s="44"/>
      <c r="B103" s="44"/>
      <c r="C103" s="44"/>
      <c r="D103" s="44"/>
      <c r="E103" s="44"/>
      <c r="F103" s="44"/>
      <c r="G103" s="44"/>
    </row>
    <row r="104" spans="1:7" x14ac:dyDescent="0.25">
      <c r="A104" s="43"/>
      <c r="B104" s="43"/>
      <c r="C104" s="43"/>
      <c r="D104" s="43"/>
      <c r="E104" s="43"/>
      <c r="F104" s="43"/>
      <c r="G104" s="43"/>
    </row>
    <row r="105" spans="1:7" x14ac:dyDescent="0.25">
      <c r="A105" s="44"/>
      <c r="B105" s="44"/>
      <c r="C105" s="44"/>
      <c r="D105" s="44"/>
      <c r="E105" s="44"/>
      <c r="F105" s="44"/>
      <c r="G105" s="44"/>
    </row>
    <row r="106" spans="1:7" x14ac:dyDescent="0.25">
      <c r="A106" s="43"/>
      <c r="B106" s="43"/>
      <c r="C106" s="43"/>
      <c r="D106" s="43"/>
      <c r="E106" s="43"/>
      <c r="F106" s="43"/>
      <c r="G106" s="43"/>
    </row>
    <row r="107" spans="1:7" x14ac:dyDescent="0.25">
      <c r="A107" s="44">
        <v>2014</v>
      </c>
      <c r="B107" s="44" t="s">
        <v>100</v>
      </c>
      <c r="C107" s="44" t="s">
        <v>44</v>
      </c>
      <c r="D107" s="44" t="s">
        <v>133</v>
      </c>
      <c r="E107" s="44">
        <v>2945</v>
      </c>
      <c r="F107" s="44"/>
      <c r="G107" s="44">
        <v>589</v>
      </c>
    </row>
    <row r="108" spans="1:7" x14ac:dyDescent="0.25">
      <c r="A108" s="43">
        <v>2015</v>
      </c>
      <c r="B108" s="43" t="s">
        <v>100</v>
      </c>
      <c r="C108" s="43" t="s">
        <v>44</v>
      </c>
      <c r="D108" s="43" t="s">
        <v>133</v>
      </c>
      <c r="E108" s="43">
        <v>3583</v>
      </c>
      <c r="F108" s="43"/>
      <c r="G108" s="43">
        <v>716.6</v>
      </c>
    </row>
    <row r="109" spans="1:7" x14ac:dyDescent="0.25">
      <c r="A109" s="44">
        <v>2016</v>
      </c>
      <c r="B109" s="44" t="s">
        <v>100</v>
      </c>
      <c r="C109" s="44" t="s">
        <v>44</v>
      </c>
      <c r="D109" s="44" t="s">
        <v>133</v>
      </c>
      <c r="E109" s="44">
        <v>4109</v>
      </c>
      <c r="F109" s="44"/>
      <c r="G109" s="44">
        <v>821.8</v>
      </c>
    </row>
    <row r="110" spans="1:7" x14ac:dyDescent="0.25">
      <c r="A110" s="43">
        <v>2017</v>
      </c>
      <c r="B110" s="43" t="s">
        <v>100</v>
      </c>
      <c r="C110" s="43" t="s">
        <v>44</v>
      </c>
      <c r="D110" s="43" t="s">
        <v>133</v>
      </c>
      <c r="E110" s="43">
        <v>4192</v>
      </c>
      <c r="F110" s="43"/>
      <c r="G110" s="43">
        <v>838.4</v>
      </c>
    </row>
    <row r="111" spans="1:7" x14ac:dyDescent="0.25">
      <c r="A111" s="44">
        <v>2014</v>
      </c>
      <c r="B111" s="44" t="s">
        <v>100</v>
      </c>
      <c r="C111" s="44" t="s">
        <v>44</v>
      </c>
      <c r="D111" s="44" t="s">
        <v>132</v>
      </c>
      <c r="E111" s="44">
        <v>19157</v>
      </c>
      <c r="F111" s="44"/>
      <c r="G111" s="44">
        <v>3831.4</v>
      </c>
    </row>
    <row r="112" spans="1:7" x14ac:dyDescent="0.25">
      <c r="A112" s="43">
        <v>2015</v>
      </c>
      <c r="B112" s="43" t="s">
        <v>100</v>
      </c>
      <c r="C112" s="43" t="s">
        <v>44</v>
      </c>
      <c r="D112" s="43" t="s">
        <v>132</v>
      </c>
      <c r="E112" s="43">
        <v>22834</v>
      </c>
      <c r="F112" s="43"/>
      <c r="G112" s="43">
        <v>4566.8</v>
      </c>
    </row>
    <row r="113" spans="1:7" x14ac:dyDescent="0.25">
      <c r="A113" s="44">
        <v>2016</v>
      </c>
      <c r="B113" s="44" t="s">
        <v>100</v>
      </c>
      <c r="C113" s="44" t="s">
        <v>44</v>
      </c>
      <c r="D113" s="44" t="s">
        <v>132</v>
      </c>
      <c r="E113" s="44">
        <v>26441</v>
      </c>
      <c r="F113" s="44"/>
      <c r="G113" s="44">
        <v>5288.2</v>
      </c>
    </row>
    <row r="114" spans="1:7" x14ac:dyDescent="0.25">
      <c r="A114" s="43">
        <v>2017</v>
      </c>
      <c r="B114" s="43" t="s">
        <v>100</v>
      </c>
      <c r="C114" s="43" t="s">
        <v>44</v>
      </c>
      <c r="D114" s="43" t="s">
        <v>132</v>
      </c>
      <c r="E114" s="43">
        <v>29220</v>
      </c>
      <c r="F114" s="43"/>
      <c r="G114" s="43">
        <v>5844</v>
      </c>
    </row>
    <row r="115" spans="1:7" x14ac:dyDescent="0.25">
      <c r="A115" s="44">
        <v>2014</v>
      </c>
      <c r="B115" s="44" t="s">
        <v>100</v>
      </c>
      <c r="C115" s="44" t="s">
        <v>43</v>
      </c>
      <c r="D115" s="44" t="s">
        <v>133</v>
      </c>
      <c r="E115" s="44">
        <v>3431</v>
      </c>
      <c r="F115" s="44"/>
      <c r="G115" s="44">
        <v>686.2</v>
      </c>
    </row>
    <row r="116" spans="1:7" x14ac:dyDescent="0.25">
      <c r="A116" s="43">
        <v>2015</v>
      </c>
      <c r="B116" s="43" t="s">
        <v>100</v>
      </c>
      <c r="C116" s="43" t="s">
        <v>43</v>
      </c>
      <c r="D116" s="43" t="s">
        <v>133</v>
      </c>
      <c r="E116" s="43">
        <v>3835</v>
      </c>
      <c r="F116" s="43"/>
      <c r="G116" s="43">
        <v>767</v>
      </c>
    </row>
    <row r="117" spans="1:7" x14ac:dyDescent="0.25">
      <c r="A117" s="44">
        <v>2016</v>
      </c>
      <c r="B117" s="44" t="s">
        <v>100</v>
      </c>
      <c r="C117" s="44" t="s">
        <v>43</v>
      </c>
      <c r="D117" s="44" t="s">
        <v>133</v>
      </c>
      <c r="E117" s="44">
        <v>4426</v>
      </c>
      <c r="F117" s="44"/>
      <c r="G117" s="44">
        <v>885.2</v>
      </c>
    </row>
    <row r="118" spans="1:7" x14ac:dyDescent="0.25">
      <c r="A118" s="43">
        <v>2017</v>
      </c>
      <c r="B118" s="43" t="s">
        <v>100</v>
      </c>
      <c r="C118" s="43" t="s">
        <v>43</v>
      </c>
      <c r="D118" s="43" t="s">
        <v>133</v>
      </c>
      <c r="E118" s="43">
        <v>4535</v>
      </c>
      <c r="F118" s="43"/>
      <c r="G118" s="43">
        <v>907</v>
      </c>
    </row>
    <row r="119" spans="1:7" x14ac:dyDescent="0.25">
      <c r="A119" s="44">
        <v>2014</v>
      </c>
      <c r="B119" s="44" t="s">
        <v>100</v>
      </c>
      <c r="C119" s="44" t="s">
        <v>43</v>
      </c>
      <c r="D119" s="44" t="s">
        <v>132</v>
      </c>
      <c r="E119" s="44">
        <v>40118</v>
      </c>
      <c r="F119" s="44"/>
      <c r="G119" s="44">
        <v>8023.6</v>
      </c>
    </row>
    <row r="120" spans="1:7" x14ac:dyDescent="0.25">
      <c r="A120" s="43">
        <v>2015</v>
      </c>
      <c r="B120" s="43" t="s">
        <v>100</v>
      </c>
      <c r="C120" s="43" t="s">
        <v>43</v>
      </c>
      <c r="D120" s="43" t="s">
        <v>132</v>
      </c>
      <c r="E120" s="43">
        <v>49956</v>
      </c>
      <c r="F120" s="43"/>
      <c r="G120" s="43">
        <v>9991.2000000000007</v>
      </c>
    </row>
    <row r="121" spans="1:7" x14ac:dyDescent="0.25">
      <c r="A121" s="44">
        <v>2016</v>
      </c>
      <c r="B121" s="44" t="s">
        <v>100</v>
      </c>
      <c r="C121" s="44" t="s">
        <v>43</v>
      </c>
      <c r="D121" s="44" t="s">
        <v>132</v>
      </c>
      <c r="E121" s="44">
        <v>57286</v>
      </c>
      <c r="F121" s="44"/>
      <c r="G121" s="44">
        <v>11457.2</v>
      </c>
    </row>
    <row r="122" spans="1:7" x14ac:dyDescent="0.25">
      <c r="A122" s="43">
        <v>2017</v>
      </c>
      <c r="B122" s="43" t="s">
        <v>100</v>
      </c>
      <c r="C122" s="43" t="s">
        <v>43</v>
      </c>
      <c r="D122" s="43" t="s">
        <v>132</v>
      </c>
      <c r="E122" s="43">
        <v>61811</v>
      </c>
      <c r="F122" s="43"/>
      <c r="G122" s="43">
        <v>12362.2</v>
      </c>
    </row>
    <row r="123" spans="1:7" x14ac:dyDescent="0.25">
      <c r="A123" s="44">
        <v>2014</v>
      </c>
      <c r="B123" s="44" t="s">
        <v>101</v>
      </c>
      <c r="C123" s="44" t="s">
        <v>44</v>
      </c>
      <c r="D123" s="44" t="s">
        <v>133</v>
      </c>
      <c r="E123" s="44">
        <v>828</v>
      </c>
      <c r="F123" s="44"/>
      <c r="G123" s="44">
        <v>165.6</v>
      </c>
    </row>
    <row r="124" spans="1:7" x14ac:dyDescent="0.25">
      <c r="A124" s="43">
        <v>2015</v>
      </c>
      <c r="B124" s="43" t="s">
        <v>101</v>
      </c>
      <c r="C124" s="43" t="s">
        <v>44</v>
      </c>
      <c r="D124" s="43" t="s">
        <v>133</v>
      </c>
      <c r="E124" s="43">
        <v>993</v>
      </c>
      <c r="F124" s="43"/>
      <c r="G124" s="43">
        <v>198.6</v>
      </c>
    </row>
    <row r="125" spans="1:7" x14ac:dyDescent="0.25">
      <c r="A125" s="44">
        <v>2016</v>
      </c>
      <c r="B125" s="44" t="s">
        <v>101</v>
      </c>
      <c r="C125" s="44" t="s">
        <v>44</v>
      </c>
      <c r="D125" s="44" t="s">
        <v>133</v>
      </c>
      <c r="E125" s="44">
        <v>1109</v>
      </c>
      <c r="F125" s="44"/>
      <c r="G125" s="44">
        <v>221.8</v>
      </c>
    </row>
    <row r="126" spans="1:7" x14ac:dyDescent="0.25">
      <c r="A126" s="43">
        <v>2017</v>
      </c>
      <c r="B126" s="43" t="s">
        <v>101</v>
      </c>
      <c r="C126" s="43" t="s">
        <v>44</v>
      </c>
      <c r="D126" s="43" t="s">
        <v>133</v>
      </c>
      <c r="E126" s="43">
        <v>1083</v>
      </c>
      <c r="F126" s="43"/>
      <c r="G126" s="43">
        <v>216.6</v>
      </c>
    </row>
    <row r="127" spans="1:7" x14ac:dyDescent="0.25">
      <c r="A127" s="44">
        <v>2014</v>
      </c>
      <c r="B127" s="44" t="s">
        <v>101</v>
      </c>
      <c r="C127" s="44" t="s">
        <v>44</v>
      </c>
      <c r="D127" s="44" t="s">
        <v>132</v>
      </c>
      <c r="E127" s="44">
        <v>4614</v>
      </c>
      <c r="F127" s="44"/>
      <c r="G127" s="44">
        <v>922.8</v>
      </c>
    </row>
    <row r="128" spans="1:7" x14ac:dyDescent="0.25">
      <c r="A128" s="43">
        <v>2015</v>
      </c>
      <c r="B128" s="43" t="s">
        <v>101</v>
      </c>
      <c r="C128" s="43" t="s">
        <v>44</v>
      </c>
      <c r="D128" s="43" t="s">
        <v>132</v>
      </c>
      <c r="E128" s="43">
        <v>5451</v>
      </c>
      <c r="F128" s="43"/>
      <c r="G128" s="43">
        <v>1090.2</v>
      </c>
    </row>
    <row r="129" spans="1:7" x14ac:dyDescent="0.25">
      <c r="A129" s="44">
        <v>2016</v>
      </c>
      <c r="B129" s="44" t="s">
        <v>101</v>
      </c>
      <c r="C129" s="44" t="s">
        <v>44</v>
      </c>
      <c r="D129" s="44" t="s">
        <v>132</v>
      </c>
      <c r="E129" s="44">
        <v>6604</v>
      </c>
      <c r="F129" s="44"/>
      <c r="G129" s="44">
        <v>1320.8</v>
      </c>
    </row>
    <row r="130" spans="1:7" x14ac:dyDescent="0.25">
      <c r="A130" s="43">
        <v>2017</v>
      </c>
      <c r="B130" s="43" t="s">
        <v>101</v>
      </c>
      <c r="C130" s="43" t="s">
        <v>44</v>
      </c>
      <c r="D130" s="43" t="s">
        <v>132</v>
      </c>
      <c r="E130" s="43">
        <v>7169</v>
      </c>
      <c r="F130" s="43"/>
      <c r="G130" s="43">
        <v>1433.8</v>
      </c>
    </row>
    <row r="131" spans="1:7" x14ac:dyDescent="0.25">
      <c r="A131" s="44">
        <v>2014</v>
      </c>
      <c r="B131" s="44" t="s">
        <v>101</v>
      </c>
      <c r="C131" s="44" t="s">
        <v>43</v>
      </c>
      <c r="D131" s="44" t="s">
        <v>133</v>
      </c>
      <c r="E131" s="44">
        <v>906</v>
      </c>
      <c r="F131" s="44"/>
      <c r="G131" s="44">
        <v>181.2</v>
      </c>
    </row>
    <row r="132" spans="1:7" x14ac:dyDescent="0.25">
      <c r="A132" s="43">
        <v>2015</v>
      </c>
      <c r="B132" s="43" t="s">
        <v>101</v>
      </c>
      <c r="C132" s="43" t="s">
        <v>43</v>
      </c>
      <c r="D132" s="43" t="s">
        <v>133</v>
      </c>
      <c r="E132" s="43">
        <v>1079</v>
      </c>
      <c r="F132" s="43"/>
      <c r="G132" s="43">
        <v>215.8</v>
      </c>
    </row>
    <row r="133" spans="1:7" x14ac:dyDescent="0.25">
      <c r="A133" s="44">
        <v>2016</v>
      </c>
      <c r="B133" s="44" t="s">
        <v>101</v>
      </c>
      <c r="C133" s="44" t="s">
        <v>43</v>
      </c>
      <c r="D133" s="44" t="s">
        <v>133</v>
      </c>
      <c r="E133" s="44">
        <v>1200</v>
      </c>
      <c r="F133" s="44"/>
      <c r="G133" s="44">
        <v>240</v>
      </c>
    </row>
    <row r="134" spans="1:7" x14ac:dyDescent="0.25">
      <c r="A134" s="43">
        <v>2017</v>
      </c>
      <c r="B134" s="43" t="s">
        <v>101</v>
      </c>
      <c r="C134" s="43" t="s">
        <v>43</v>
      </c>
      <c r="D134" s="43" t="s">
        <v>133</v>
      </c>
      <c r="E134" s="43">
        <v>1146</v>
      </c>
      <c r="F134" s="43"/>
      <c r="G134" s="43">
        <v>229.2</v>
      </c>
    </row>
    <row r="135" spans="1:7" x14ac:dyDescent="0.25">
      <c r="A135" s="44">
        <v>2014</v>
      </c>
      <c r="B135" s="44" t="s">
        <v>101</v>
      </c>
      <c r="C135" s="44" t="s">
        <v>43</v>
      </c>
      <c r="D135" s="44" t="s">
        <v>132</v>
      </c>
      <c r="E135" s="44">
        <v>11691</v>
      </c>
      <c r="F135" s="44"/>
      <c r="G135" s="44">
        <v>2338.1999999999998</v>
      </c>
    </row>
    <row r="136" spans="1:7" x14ac:dyDescent="0.25">
      <c r="A136" s="43">
        <v>2015</v>
      </c>
      <c r="B136" s="43" t="s">
        <v>101</v>
      </c>
      <c r="C136" s="43" t="s">
        <v>43</v>
      </c>
      <c r="D136" s="43" t="s">
        <v>132</v>
      </c>
      <c r="E136" s="43">
        <v>14350</v>
      </c>
      <c r="F136" s="43"/>
      <c r="G136" s="43">
        <v>2870</v>
      </c>
    </row>
    <row r="137" spans="1:7" x14ac:dyDescent="0.25">
      <c r="A137" s="44">
        <v>2016</v>
      </c>
      <c r="B137" s="44" t="s">
        <v>101</v>
      </c>
      <c r="C137" s="44" t="s">
        <v>43</v>
      </c>
      <c r="D137" s="44" t="s">
        <v>132</v>
      </c>
      <c r="E137" s="44">
        <v>17274</v>
      </c>
      <c r="F137" s="44"/>
      <c r="G137" s="44">
        <v>3454.8</v>
      </c>
    </row>
    <row r="138" spans="1:7" x14ac:dyDescent="0.25">
      <c r="A138" s="43">
        <v>2017</v>
      </c>
      <c r="B138" s="43" t="s">
        <v>101</v>
      </c>
      <c r="C138" s="43" t="s">
        <v>43</v>
      </c>
      <c r="D138" s="43" t="s">
        <v>132</v>
      </c>
      <c r="E138" s="43">
        <v>19044</v>
      </c>
      <c r="F138" s="43"/>
      <c r="G138" s="43">
        <v>3808.8</v>
      </c>
    </row>
    <row r="139" spans="1:7" x14ac:dyDescent="0.25">
      <c r="A139" s="44">
        <v>2014</v>
      </c>
      <c r="B139" s="44" t="s">
        <v>102</v>
      </c>
      <c r="C139" s="44" t="s">
        <v>44</v>
      </c>
      <c r="D139" s="44" t="s">
        <v>133</v>
      </c>
      <c r="E139" s="44">
        <v>3101</v>
      </c>
      <c r="F139" s="44"/>
      <c r="G139" s="44">
        <v>620.20000000000005</v>
      </c>
    </row>
    <row r="140" spans="1:7" x14ac:dyDescent="0.25">
      <c r="A140" s="43">
        <v>2015</v>
      </c>
      <c r="B140" s="43" t="s">
        <v>102</v>
      </c>
      <c r="C140" s="43" t="s">
        <v>44</v>
      </c>
      <c r="D140" s="43" t="s">
        <v>133</v>
      </c>
      <c r="E140" s="43">
        <v>3245</v>
      </c>
      <c r="F140" s="43"/>
      <c r="G140" s="43">
        <v>649</v>
      </c>
    </row>
    <row r="141" spans="1:7" x14ac:dyDescent="0.25">
      <c r="A141" s="44">
        <v>2016</v>
      </c>
      <c r="B141" s="44" t="s">
        <v>102</v>
      </c>
      <c r="C141" s="44" t="s">
        <v>44</v>
      </c>
      <c r="D141" s="44" t="s">
        <v>133</v>
      </c>
      <c r="E141" s="44">
        <v>3525</v>
      </c>
      <c r="F141" s="44"/>
      <c r="G141" s="44">
        <v>705</v>
      </c>
    </row>
    <row r="142" spans="1:7" x14ac:dyDescent="0.25">
      <c r="A142" s="43">
        <v>2017</v>
      </c>
      <c r="B142" s="43" t="s">
        <v>102</v>
      </c>
      <c r="C142" s="43" t="s">
        <v>44</v>
      </c>
      <c r="D142" s="43" t="s">
        <v>133</v>
      </c>
      <c r="E142" s="43">
        <v>3607</v>
      </c>
      <c r="F142" s="43"/>
      <c r="G142" s="43">
        <v>721.4</v>
      </c>
    </row>
    <row r="143" spans="1:7" x14ac:dyDescent="0.25">
      <c r="A143" s="44">
        <v>2014</v>
      </c>
      <c r="B143" s="44" t="s">
        <v>102</v>
      </c>
      <c r="C143" s="44" t="s">
        <v>44</v>
      </c>
      <c r="D143" s="44" t="s">
        <v>132</v>
      </c>
      <c r="E143" s="44">
        <v>21216</v>
      </c>
      <c r="F143" s="44"/>
      <c r="G143" s="44">
        <v>4243.2</v>
      </c>
    </row>
    <row r="144" spans="1:7" x14ac:dyDescent="0.25">
      <c r="A144" s="43">
        <v>2015</v>
      </c>
      <c r="B144" s="43" t="s">
        <v>102</v>
      </c>
      <c r="C144" s="43" t="s">
        <v>44</v>
      </c>
      <c r="D144" s="43" t="s">
        <v>132</v>
      </c>
      <c r="E144" s="43">
        <v>24550</v>
      </c>
      <c r="F144" s="43"/>
      <c r="G144" s="43">
        <v>4910</v>
      </c>
    </row>
    <row r="145" spans="1:7" x14ac:dyDescent="0.25">
      <c r="A145" s="44">
        <v>2016</v>
      </c>
      <c r="B145" s="44" t="s">
        <v>102</v>
      </c>
      <c r="C145" s="44" t="s">
        <v>44</v>
      </c>
      <c r="D145" s="44" t="s">
        <v>132</v>
      </c>
      <c r="E145" s="44">
        <v>28082</v>
      </c>
      <c r="F145" s="44"/>
      <c r="G145" s="44">
        <v>5616.4</v>
      </c>
    </row>
    <row r="146" spans="1:7" x14ac:dyDescent="0.25">
      <c r="A146" s="43">
        <v>2017</v>
      </c>
      <c r="B146" s="43" t="s">
        <v>102</v>
      </c>
      <c r="C146" s="43" t="s">
        <v>44</v>
      </c>
      <c r="D146" s="43" t="s">
        <v>132</v>
      </c>
      <c r="E146" s="43">
        <v>31021</v>
      </c>
      <c r="F146" s="43"/>
      <c r="G146" s="43">
        <v>6204.2</v>
      </c>
    </row>
    <row r="147" spans="1:7" x14ac:dyDescent="0.25">
      <c r="A147" s="44">
        <v>2014</v>
      </c>
      <c r="B147" s="44" t="s">
        <v>102</v>
      </c>
      <c r="C147" s="44" t="s">
        <v>43</v>
      </c>
      <c r="D147" s="44" t="s">
        <v>133</v>
      </c>
      <c r="E147" s="44">
        <v>3241</v>
      </c>
      <c r="F147" s="44"/>
      <c r="G147" s="44">
        <v>648.20000000000005</v>
      </c>
    </row>
    <row r="148" spans="1:7" x14ac:dyDescent="0.25">
      <c r="A148" s="43">
        <v>2015</v>
      </c>
      <c r="B148" s="43" t="s">
        <v>102</v>
      </c>
      <c r="C148" s="43" t="s">
        <v>43</v>
      </c>
      <c r="D148" s="43" t="s">
        <v>133</v>
      </c>
      <c r="E148" s="43">
        <v>3393</v>
      </c>
      <c r="F148" s="43"/>
      <c r="G148" s="43">
        <v>678.6</v>
      </c>
    </row>
    <row r="149" spans="1:7" x14ac:dyDescent="0.25">
      <c r="A149" s="44">
        <v>2016</v>
      </c>
      <c r="B149" s="44" t="s">
        <v>102</v>
      </c>
      <c r="C149" s="44" t="s">
        <v>43</v>
      </c>
      <c r="D149" s="44" t="s">
        <v>133</v>
      </c>
      <c r="E149" s="44">
        <v>3810</v>
      </c>
      <c r="F149" s="44"/>
      <c r="G149" s="44">
        <v>762</v>
      </c>
    </row>
    <row r="150" spans="1:7" x14ac:dyDescent="0.25">
      <c r="A150" s="43">
        <v>2017</v>
      </c>
      <c r="B150" s="43" t="s">
        <v>102</v>
      </c>
      <c r="C150" s="43" t="s">
        <v>43</v>
      </c>
      <c r="D150" s="43" t="s">
        <v>133</v>
      </c>
      <c r="E150" s="43">
        <v>3831</v>
      </c>
      <c r="F150" s="43"/>
      <c r="G150" s="43">
        <v>766.2</v>
      </c>
    </row>
    <row r="151" spans="1:7" x14ac:dyDescent="0.25">
      <c r="A151" s="44">
        <v>2014</v>
      </c>
      <c r="B151" s="44" t="s">
        <v>102</v>
      </c>
      <c r="C151" s="44" t="s">
        <v>43</v>
      </c>
      <c r="D151" s="44" t="s">
        <v>132</v>
      </c>
      <c r="E151" s="44">
        <v>41230</v>
      </c>
      <c r="F151" s="44"/>
      <c r="G151" s="44">
        <v>8246</v>
      </c>
    </row>
    <row r="152" spans="1:7" x14ac:dyDescent="0.25">
      <c r="A152" s="43">
        <v>2015</v>
      </c>
      <c r="B152" s="43" t="s">
        <v>102</v>
      </c>
      <c r="C152" s="43" t="s">
        <v>43</v>
      </c>
      <c r="D152" s="43" t="s">
        <v>132</v>
      </c>
      <c r="E152" s="43">
        <v>48424</v>
      </c>
      <c r="F152" s="43"/>
      <c r="G152" s="43">
        <v>9684.7999999999993</v>
      </c>
    </row>
    <row r="153" spans="1:7" x14ac:dyDescent="0.25">
      <c r="A153" s="44">
        <v>2016</v>
      </c>
      <c r="B153" s="44" t="s">
        <v>102</v>
      </c>
      <c r="C153" s="44" t="s">
        <v>43</v>
      </c>
      <c r="D153" s="44" t="s">
        <v>132</v>
      </c>
      <c r="E153" s="44">
        <v>56384</v>
      </c>
      <c r="F153" s="44"/>
      <c r="G153" s="44">
        <v>11276.8</v>
      </c>
    </row>
    <row r="154" spans="1:7" x14ac:dyDescent="0.25">
      <c r="A154" s="43">
        <v>2017</v>
      </c>
      <c r="B154" s="43" t="s">
        <v>102</v>
      </c>
      <c r="C154" s="43" t="s">
        <v>43</v>
      </c>
      <c r="D154" s="43" t="s">
        <v>132</v>
      </c>
      <c r="E154" s="43">
        <v>60789</v>
      </c>
      <c r="F154" s="43"/>
      <c r="G154" s="43">
        <v>12157.8</v>
      </c>
    </row>
    <row r="155" spans="1:7" x14ac:dyDescent="0.25">
      <c r="A155" s="44">
        <v>2014</v>
      </c>
      <c r="B155" s="44" t="s">
        <v>103</v>
      </c>
      <c r="C155" s="44" t="s">
        <v>44</v>
      </c>
      <c r="D155" s="44" t="s">
        <v>133</v>
      </c>
      <c r="E155" s="44">
        <v>2309</v>
      </c>
      <c r="F155" s="44"/>
      <c r="G155" s="44">
        <v>461.8</v>
      </c>
    </row>
    <row r="156" spans="1:7" x14ac:dyDescent="0.25">
      <c r="A156" s="43">
        <v>2015</v>
      </c>
      <c r="B156" s="43" t="s">
        <v>103</v>
      </c>
      <c r="C156" s="43" t="s">
        <v>44</v>
      </c>
      <c r="D156" s="43" t="s">
        <v>133</v>
      </c>
      <c r="E156" s="43">
        <v>2295</v>
      </c>
      <c r="F156" s="43"/>
      <c r="G156" s="43">
        <v>459</v>
      </c>
    </row>
    <row r="157" spans="1:7" x14ac:dyDescent="0.25">
      <c r="A157" s="44">
        <v>2016</v>
      </c>
      <c r="B157" s="44" t="s">
        <v>103</v>
      </c>
      <c r="C157" s="44" t="s">
        <v>44</v>
      </c>
      <c r="D157" s="44" t="s">
        <v>133</v>
      </c>
      <c r="E157" s="44">
        <v>2678</v>
      </c>
      <c r="F157" s="44"/>
      <c r="G157" s="44">
        <v>535.6</v>
      </c>
    </row>
    <row r="158" spans="1:7" x14ac:dyDescent="0.25">
      <c r="A158" s="43">
        <v>2017</v>
      </c>
      <c r="B158" s="43" t="s">
        <v>103</v>
      </c>
      <c r="C158" s="43" t="s">
        <v>44</v>
      </c>
      <c r="D158" s="43" t="s">
        <v>133</v>
      </c>
      <c r="E158" s="43">
        <v>2673</v>
      </c>
      <c r="F158" s="43"/>
      <c r="G158" s="43">
        <v>534.6</v>
      </c>
    </row>
    <row r="159" spans="1:7" x14ac:dyDescent="0.25">
      <c r="A159" s="44">
        <v>2014</v>
      </c>
      <c r="B159" s="44" t="s">
        <v>103</v>
      </c>
      <c r="C159" s="44" t="s">
        <v>44</v>
      </c>
      <c r="D159" s="44" t="s">
        <v>132</v>
      </c>
      <c r="E159" s="44">
        <v>13929</v>
      </c>
      <c r="F159" s="44"/>
      <c r="G159" s="44">
        <v>2785.8</v>
      </c>
    </row>
    <row r="160" spans="1:7" x14ac:dyDescent="0.25">
      <c r="A160" s="43">
        <v>2015</v>
      </c>
      <c r="B160" s="43" t="s">
        <v>103</v>
      </c>
      <c r="C160" s="43" t="s">
        <v>44</v>
      </c>
      <c r="D160" s="43" t="s">
        <v>132</v>
      </c>
      <c r="E160" s="43">
        <v>15165</v>
      </c>
      <c r="F160" s="43"/>
      <c r="G160" s="43">
        <v>3033</v>
      </c>
    </row>
    <row r="161" spans="1:7" x14ac:dyDescent="0.25">
      <c r="A161" s="44">
        <v>2016</v>
      </c>
      <c r="B161" s="44" t="s">
        <v>103</v>
      </c>
      <c r="C161" s="44" t="s">
        <v>44</v>
      </c>
      <c r="D161" s="44" t="s">
        <v>132</v>
      </c>
      <c r="E161" s="44">
        <v>17438</v>
      </c>
      <c r="F161" s="44"/>
      <c r="G161" s="44">
        <v>3487.6</v>
      </c>
    </row>
    <row r="162" spans="1:7" x14ac:dyDescent="0.25">
      <c r="A162" s="43">
        <v>2017</v>
      </c>
      <c r="B162" s="43" t="s">
        <v>103</v>
      </c>
      <c r="C162" s="43" t="s">
        <v>44</v>
      </c>
      <c r="D162" s="43" t="s">
        <v>132</v>
      </c>
      <c r="E162" s="43">
        <v>18455</v>
      </c>
      <c r="F162" s="43"/>
      <c r="G162" s="43">
        <v>3691</v>
      </c>
    </row>
    <row r="163" spans="1:7" x14ac:dyDescent="0.25">
      <c r="A163" s="44">
        <v>2014</v>
      </c>
      <c r="B163" s="44" t="s">
        <v>103</v>
      </c>
      <c r="C163" s="44" t="s">
        <v>43</v>
      </c>
      <c r="D163" s="44" t="s">
        <v>133</v>
      </c>
      <c r="E163" s="44">
        <v>2526</v>
      </c>
      <c r="F163" s="44"/>
      <c r="G163" s="44">
        <v>505.2</v>
      </c>
    </row>
    <row r="164" spans="1:7" x14ac:dyDescent="0.25">
      <c r="A164" s="43">
        <v>2015</v>
      </c>
      <c r="B164" s="43" t="s">
        <v>103</v>
      </c>
      <c r="C164" s="43" t="s">
        <v>43</v>
      </c>
      <c r="D164" s="43" t="s">
        <v>133</v>
      </c>
      <c r="E164" s="43">
        <v>2448</v>
      </c>
      <c r="F164" s="43"/>
      <c r="G164" s="43">
        <v>489.6</v>
      </c>
    </row>
    <row r="165" spans="1:7" x14ac:dyDescent="0.25">
      <c r="A165" s="44">
        <v>2016</v>
      </c>
      <c r="B165" s="44" t="s">
        <v>103</v>
      </c>
      <c r="C165" s="44" t="s">
        <v>43</v>
      </c>
      <c r="D165" s="44" t="s">
        <v>133</v>
      </c>
      <c r="E165" s="44">
        <v>2868</v>
      </c>
      <c r="F165" s="44"/>
      <c r="G165" s="44">
        <v>573.6</v>
      </c>
    </row>
    <row r="166" spans="1:7" x14ac:dyDescent="0.25">
      <c r="A166" s="43">
        <v>2017</v>
      </c>
      <c r="B166" s="43" t="s">
        <v>103</v>
      </c>
      <c r="C166" s="43" t="s">
        <v>43</v>
      </c>
      <c r="D166" s="43" t="s">
        <v>133</v>
      </c>
      <c r="E166" s="43">
        <v>2884</v>
      </c>
      <c r="F166" s="43"/>
      <c r="G166" s="43">
        <v>576.79999999999995</v>
      </c>
    </row>
    <row r="167" spans="1:7" x14ac:dyDescent="0.25">
      <c r="A167" s="44">
        <v>2014</v>
      </c>
      <c r="B167" s="44" t="s">
        <v>103</v>
      </c>
      <c r="C167" s="44" t="s">
        <v>43</v>
      </c>
      <c r="D167" s="44" t="s">
        <v>132</v>
      </c>
      <c r="E167" s="44">
        <v>27896</v>
      </c>
      <c r="F167" s="44"/>
      <c r="G167" s="44">
        <v>5579.2</v>
      </c>
    </row>
    <row r="168" spans="1:7" x14ac:dyDescent="0.25">
      <c r="A168" s="43">
        <v>2015</v>
      </c>
      <c r="B168" s="43" t="s">
        <v>103</v>
      </c>
      <c r="C168" s="43" t="s">
        <v>43</v>
      </c>
      <c r="D168" s="43" t="s">
        <v>132</v>
      </c>
      <c r="E168" s="43">
        <v>31964</v>
      </c>
      <c r="F168" s="43"/>
      <c r="G168" s="43">
        <v>6392.8</v>
      </c>
    </row>
    <row r="169" spans="1:7" x14ac:dyDescent="0.25">
      <c r="A169" s="44">
        <v>2016</v>
      </c>
      <c r="B169" s="44" t="s">
        <v>103</v>
      </c>
      <c r="C169" s="44" t="s">
        <v>43</v>
      </c>
      <c r="D169" s="44" t="s">
        <v>132</v>
      </c>
      <c r="E169" s="44">
        <v>38637</v>
      </c>
      <c r="F169" s="44"/>
      <c r="G169" s="44">
        <v>7727.4</v>
      </c>
    </row>
    <row r="170" spans="1:7" x14ac:dyDescent="0.25">
      <c r="A170" s="43">
        <v>2017</v>
      </c>
      <c r="B170" s="43" t="s">
        <v>103</v>
      </c>
      <c r="C170" s="43" t="s">
        <v>43</v>
      </c>
      <c r="D170" s="43" t="s">
        <v>132</v>
      </c>
      <c r="E170" s="43">
        <v>40891</v>
      </c>
      <c r="F170" s="43"/>
      <c r="G170" s="43">
        <v>8178.2</v>
      </c>
    </row>
    <row r="171" spans="1:7" x14ac:dyDescent="0.25">
      <c r="A171" s="44">
        <v>2014</v>
      </c>
      <c r="B171" s="44" t="s">
        <v>104</v>
      </c>
      <c r="C171" s="44" t="s">
        <v>44</v>
      </c>
      <c r="D171" s="44" t="s">
        <v>133</v>
      </c>
      <c r="E171" s="44">
        <v>484</v>
      </c>
      <c r="F171" s="44"/>
      <c r="G171" s="44">
        <v>96.8</v>
      </c>
    </row>
    <row r="172" spans="1:7" x14ac:dyDescent="0.25">
      <c r="A172" s="43">
        <v>2015</v>
      </c>
      <c r="B172" s="43" t="s">
        <v>104</v>
      </c>
      <c r="C172" s="43" t="s">
        <v>44</v>
      </c>
      <c r="D172" s="43" t="s">
        <v>133</v>
      </c>
      <c r="E172" s="43">
        <v>552</v>
      </c>
      <c r="F172" s="43"/>
      <c r="G172" s="43">
        <v>110.4</v>
      </c>
    </row>
    <row r="173" spans="1:7" x14ac:dyDescent="0.25">
      <c r="A173" s="44">
        <v>2016</v>
      </c>
      <c r="B173" s="44" t="s">
        <v>104</v>
      </c>
      <c r="C173" s="44" t="s">
        <v>44</v>
      </c>
      <c r="D173" s="44" t="s">
        <v>133</v>
      </c>
      <c r="E173" s="44">
        <v>578</v>
      </c>
      <c r="F173" s="44"/>
      <c r="G173" s="44">
        <v>115.6</v>
      </c>
    </row>
    <row r="174" spans="1:7" x14ac:dyDescent="0.25">
      <c r="A174" s="43">
        <v>2017</v>
      </c>
      <c r="B174" s="43" t="s">
        <v>104</v>
      </c>
      <c r="C174" s="43" t="s">
        <v>44</v>
      </c>
      <c r="D174" s="43" t="s">
        <v>133</v>
      </c>
      <c r="E174" s="43">
        <v>611</v>
      </c>
      <c r="F174" s="43"/>
      <c r="G174" s="43">
        <v>122.2</v>
      </c>
    </row>
    <row r="175" spans="1:7" x14ac:dyDescent="0.25">
      <c r="A175" s="44">
        <v>2014</v>
      </c>
      <c r="B175" s="44" t="s">
        <v>104</v>
      </c>
      <c r="C175" s="44" t="s">
        <v>44</v>
      </c>
      <c r="D175" s="44" t="s">
        <v>132</v>
      </c>
      <c r="E175" s="44">
        <v>2120</v>
      </c>
      <c r="F175" s="44"/>
      <c r="G175" s="44">
        <v>424</v>
      </c>
    </row>
    <row r="176" spans="1:7" x14ac:dyDescent="0.25">
      <c r="A176" s="43">
        <v>2015</v>
      </c>
      <c r="B176" s="43" t="s">
        <v>104</v>
      </c>
      <c r="C176" s="43" t="s">
        <v>44</v>
      </c>
      <c r="D176" s="43" t="s">
        <v>132</v>
      </c>
      <c r="E176" s="43">
        <v>2585</v>
      </c>
      <c r="F176" s="43"/>
      <c r="G176" s="43">
        <v>517</v>
      </c>
    </row>
    <row r="177" spans="1:7" x14ac:dyDescent="0.25">
      <c r="A177" s="44">
        <v>2016</v>
      </c>
      <c r="B177" s="44" t="s">
        <v>104</v>
      </c>
      <c r="C177" s="44" t="s">
        <v>44</v>
      </c>
      <c r="D177" s="44" t="s">
        <v>132</v>
      </c>
      <c r="E177" s="44">
        <v>3142</v>
      </c>
      <c r="F177" s="44"/>
      <c r="G177" s="44">
        <v>628.4</v>
      </c>
    </row>
    <row r="178" spans="1:7" x14ac:dyDescent="0.25">
      <c r="A178" s="43">
        <v>2017</v>
      </c>
      <c r="B178" s="43" t="s">
        <v>104</v>
      </c>
      <c r="C178" s="43" t="s">
        <v>44</v>
      </c>
      <c r="D178" s="43" t="s">
        <v>132</v>
      </c>
      <c r="E178" s="43">
        <v>3474</v>
      </c>
      <c r="F178" s="43"/>
      <c r="G178" s="43">
        <v>694.8</v>
      </c>
    </row>
    <row r="179" spans="1:7" x14ac:dyDescent="0.25">
      <c r="A179" s="44">
        <v>2014</v>
      </c>
      <c r="B179" s="44" t="s">
        <v>104</v>
      </c>
      <c r="C179" s="44" t="s">
        <v>43</v>
      </c>
      <c r="D179" s="44" t="s">
        <v>133</v>
      </c>
      <c r="E179" s="44">
        <v>506</v>
      </c>
      <c r="F179" s="44"/>
      <c r="G179" s="44">
        <v>101.2</v>
      </c>
    </row>
    <row r="180" spans="1:7" x14ac:dyDescent="0.25">
      <c r="A180" s="43">
        <v>2015</v>
      </c>
      <c r="B180" s="43" t="s">
        <v>104</v>
      </c>
      <c r="C180" s="43" t="s">
        <v>43</v>
      </c>
      <c r="D180" s="43" t="s">
        <v>133</v>
      </c>
      <c r="E180" s="43">
        <v>567</v>
      </c>
      <c r="F180" s="43"/>
      <c r="G180" s="43">
        <v>113.4</v>
      </c>
    </row>
    <row r="181" spans="1:7" x14ac:dyDescent="0.25">
      <c r="A181" s="44">
        <v>2016</v>
      </c>
      <c r="B181" s="44" t="s">
        <v>104</v>
      </c>
      <c r="C181" s="44" t="s">
        <v>43</v>
      </c>
      <c r="D181" s="44" t="s">
        <v>133</v>
      </c>
      <c r="E181" s="44">
        <v>601</v>
      </c>
      <c r="F181" s="44"/>
      <c r="G181" s="44">
        <v>120.2</v>
      </c>
    </row>
    <row r="182" spans="1:7" x14ac:dyDescent="0.25">
      <c r="A182" s="43">
        <v>2017</v>
      </c>
      <c r="B182" s="43" t="s">
        <v>104</v>
      </c>
      <c r="C182" s="43" t="s">
        <v>43</v>
      </c>
      <c r="D182" s="43" t="s">
        <v>133</v>
      </c>
      <c r="E182" s="43">
        <v>622</v>
      </c>
      <c r="F182" s="43"/>
      <c r="G182" s="43">
        <v>124.4</v>
      </c>
    </row>
    <row r="183" spans="1:7" x14ac:dyDescent="0.25">
      <c r="A183" s="44">
        <v>2014</v>
      </c>
      <c r="B183" s="44" t="s">
        <v>104</v>
      </c>
      <c r="C183" s="44" t="s">
        <v>43</v>
      </c>
      <c r="D183" s="44" t="s">
        <v>132</v>
      </c>
      <c r="E183" s="44">
        <v>5964</v>
      </c>
      <c r="F183" s="44"/>
      <c r="G183" s="44">
        <v>1192.8</v>
      </c>
    </row>
    <row r="184" spans="1:7" x14ac:dyDescent="0.25">
      <c r="A184" s="43">
        <v>2015</v>
      </c>
      <c r="B184" s="43" t="s">
        <v>104</v>
      </c>
      <c r="C184" s="43" t="s">
        <v>43</v>
      </c>
      <c r="D184" s="43" t="s">
        <v>132</v>
      </c>
      <c r="E184" s="43">
        <v>7210</v>
      </c>
      <c r="F184" s="43"/>
      <c r="G184" s="43">
        <v>1442</v>
      </c>
    </row>
    <row r="185" spans="1:7" x14ac:dyDescent="0.25">
      <c r="A185" s="44">
        <v>2016</v>
      </c>
      <c r="B185" s="44" t="s">
        <v>104</v>
      </c>
      <c r="C185" s="44" t="s">
        <v>43</v>
      </c>
      <c r="D185" s="44" t="s">
        <v>132</v>
      </c>
      <c r="E185" s="44">
        <v>8258</v>
      </c>
      <c r="F185" s="44"/>
      <c r="G185" s="44">
        <v>1651.6</v>
      </c>
    </row>
    <row r="186" spans="1:7" x14ac:dyDescent="0.25">
      <c r="A186" s="43">
        <v>2017</v>
      </c>
      <c r="B186" s="43" t="s">
        <v>104</v>
      </c>
      <c r="C186" s="43" t="s">
        <v>43</v>
      </c>
      <c r="D186" s="43" t="s">
        <v>132</v>
      </c>
      <c r="E186" s="43">
        <v>8654</v>
      </c>
      <c r="F186" s="43"/>
      <c r="G186" s="43">
        <v>1730.8</v>
      </c>
    </row>
    <row r="187" spans="1:7" x14ac:dyDescent="0.25">
      <c r="A187" s="44">
        <v>2014</v>
      </c>
      <c r="B187" s="44" t="s">
        <v>105</v>
      </c>
      <c r="C187" s="44" t="s">
        <v>44</v>
      </c>
      <c r="D187" s="44" t="s">
        <v>133</v>
      </c>
      <c r="E187" s="44">
        <v>2645</v>
      </c>
      <c r="F187" s="44"/>
      <c r="G187" s="44">
        <v>529</v>
      </c>
    </row>
    <row r="188" spans="1:7" x14ac:dyDescent="0.25">
      <c r="A188" s="43">
        <v>2015</v>
      </c>
      <c r="B188" s="43" t="s">
        <v>105</v>
      </c>
      <c r="C188" s="43" t="s">
        <v>44</v>
      </c>
      <c r="D188" s="43" t="s">
        <v>133</v>
      </c>
      <c r="E188" s="43">
        <v>2950</v>
      </c>
      <c r="F188" s="43"/>
      <c r="G188" s="43">
        <v>590</v>
      </c>
    </row>
    <row r="189" spans="1:7" x14ac:dyDescent="0.25">
      <c r="A189" s="44">
        <v>2016</v>
      </c>
      <c r="B189" s="44" t="s">
        <v>105</v>
      </c>
      <c r="C189" s="44" t="s">
        <v>44</v>
      </c>
      <c r="D189" s="44" t="s">
        <v>133</v>
      </c>
      <c r="E189" s="44">
        <v>3017</v>
      </c>
      <c r="F189" s="44"/>
      <c r="G189" s="44">
        <v>603.4</v>
      </c>
    </row>
    <row r="190" spans="1:7" x14ac:dyDescent="0.25">
      <c r="A190" s="43">
        <v>2017</v>
      </c>
      <c r="B190" s="43" t="s">
        <v>105</v>
      </c>
      <c r="C190" s="43" t="s">
        <v>44</v>
      </c>
      <c r="D190" s="43" t="s">
        <v>133</v>
      </c>
      <c r="E190" s="43">
        <v>3197</v>
      </c>
      <c r="F190" s="43"/>
      <c r="G190" s="43">
        <v>639.4</v>
      </c>
    </row>
    <row r="191" spans="1:7" x14ac:dyDescent="0.25">
      <c r="A191" s="44">
        <v>2014</v>
      </c>
      <c r="B191" s="44" t="s">
        <v>105</v>
      </c>
      <c r="C191" s="44" t="s">
        <v>44</v>
      </c>
      <c r="D191" s="44" t="s">
        <v>132</v>
      </c>
      <c r="E191" s="44">
        <v>16163</v>
      </c>
      <c r="F191" s="44"/>
      <c r="G191" s="44">
        <v>3232.6</v>
      </c>
    </row>
    <row r="192" spans="1:7" x14ac:dyDescent="0.25">
      <c r="A192" s="43">
        <v>2015</v>
      </c>
      <c r="B192" s="43" t="s">
        <v>105</v>
      </c>
      <c r="C192" s="43" t="s">
        <v>44</v>
      </c>
      <c r="D192" s="43" t="s">
        <v>132</v>
      </c>
      <c r="E192" s="43">
        <v>18611</v>
      </c>
      <c r="F192" s="43"/>
      <c r="G192" s="43">
        <v>3722.2</v>
      </c>
    </row>
    <row r="193" spans="1:7" x14ac:dyDescent="0.25">
      <c r="A193" s="44">
        <v>2016</v>
      </c>
      <c r="B193" s="44" t="s">
        <v>105</v>
      </c>
      <c r="C193" s="44" t="s">
        <v>44</v>
      </c>
      <c r="D193" s="44" t="s">
        <v>132</v>
      </c>
      <c r="E193" s="44">
        <v>21477</v>
      </c>
      <c r="F193" s="44"/>
      <c r="G193" s="44">
        <v>4295.3999999999996</v>
      </c>
    </row>
    <row r="194" spans="1:7" x14ac:dyDescent="0.25">
      <c r="A194" s="43">
        <v>2017</v>
      </c>
      <c r="B194" s="43" t="s">
        <v>105</v>
      </c>
      <c r="C194" s="43" t="s">
        <v>44</v>
      </c>
      <c r="D194" s="43" t="s">
        <v>132</v>
      </c>
      <c r="E194" s="43">
        <v>23762</v>
      </c>
      <c r="F194" s="43"/>
      <c r="G194" s="43">
        <v>4752.3999999999996</v>
      </c>
    </row>
    <row r="195" spans="1:7" x14ac:dyDescent="0.25">
      <c r="A195" s="44">
        <v>2014</v>
      </c>
      <c r="B195" s="44" t="s">
        <v>105</v>
      </c>
      <c r="C195" s="44" t="s">
        <v>43</v>
      </c>
      <c r="D195" s="44" t="s">
        <v>133</v>
      </c>
      <c r="E195" s="44">
        <v>2778</v>
      </c>
      <c r="F195" s="44"/>
      <c r="G195" s="44">
        <v>555.6</v>
      </c>
    </row>
    <row r="196" spans="1:7" x14ac:dyDescent="0.25">
      <c r="A196" s="43">
        <v>2015</v>
      </c>
      <c r="B196" s="43" t="s">
        <v>105</v>
      </c>
      <c r="C196" s="43" t="s">
        <v>43</v>
      </c>
      <c r="D196" s="43" t="s">
        <v>133</v>
      </c>
      <c r="E196" s="43">
        <v>3136</v>
      </c>
      <c r="F196" s="43"/>
      <c r="G196" s="43">
        <v>627.20000000000005</v>
      </c>
    </row>
    <row r="197" spans="1:7" x14ac:dyDescent="0.25">
      <c r="A197" s="44">
        <v>2016</v>
      </c>
      <c r="B197" s="44" t="s">
        <v>105</v>
      </c>
      <c r="C197" s="44" t="s">
        <v>43</v>
      </c>
      <c r="D197" s="44" t="s">
        <v>133</v>
      </c>
      <c r="E197" s="44">
        <v>3299</v>
      </c>
      <c r="F197" s="44"/>
      <c r="G197" s="44">
        <v>659.8</v>
      </c>
    </row>
    <row r="198" spans="1:7" x14ac:dyDescent="0.25">
      <c r="A198" s="43">
        <v>2017</v>
      </c>
      <c r="B198" s="43" t="s">
        <v>105</v>
      </c>
      <c r="C198" s="43" t="s">
        <v>43</v>
      </c>
      <c r="D198" s="43" t="s">
        <v>133</v>
      </c>
      <c r="E198" s="43">
        <v>3569</v>
      </c>
      <c r="F198" s="43"/>
      <c r="G198" s="43">
        <v>713.8</v>
      </c>
    </row>
    <row r="199" spans="1:7" x14ac:dyDescent="0.25">
      <c r="A199" s="44">
        <v>2014</v>
      </c>
      <c r="B199" s="44" t="s">
        <v>105</v>
      </c>
      <c r="C199" s="44" t="s">
        <v>43</v>
      </c>
      <c r="D199" s="44" t="s">
        <v>132</v>
      </c>
      <c r="E199" s="44">
        <v>33911</v>
      </c>
      <c r="F199" s="44"/>
      <c r="G199" s="44">
        <v>6782.2</v>
      </c>
    </row>
    <row r="200" spans="1:7" x14ac:dyDescent="0.25">
      <c r="A200" s="43">
        <v>2015</v>
      </c>
      <c r="B200" s="43" t="s">
        <v>105</v>
      </c>
      <c r="C200" s="43" t="s">
        <v>43</v>
      </c>
      <c r="D200" s="43" t="s">
        <v>132</v>
      </c>
      <c r="E200" s="43">
        <v>39853</v>
      </c>
      <c r="F200" s="43"/>
      <c r="G200" s="43">
        <v>7970.6</v>
      </c>
    </row>
    <row r="201" spans="1:7" x14ac:dyDescent="0.25">
      <c r="A201" s="44">
        <v>2016</v>
      </c>
      <c r="B201" s="44" t="s">
        <v>105</v>
      </c>
      <c r="C201" s="44" t="s">
        <v>43</v>
      </c>
      <c r="D201" s="44" t="s">
        <v>132</v>
      </c>
      <c r="E201" s="44">
        <v>44892</v>
      </c>
      <c r="F201" s="44"/>
      <c r="G201" s="44">
        <v>8978.4</v>
      </c>
    </row>
    <row r="202" spans="1:7" x14ac:dyDescent="0.25">
      <c r="A202" s="43">
        <v>2017</v>
      </c>
      <c r="B202" s="43" t="s">
        <v>105</v>
      </c>
      <c r="C202" s="43" t="s">
        <v>43</v>
      </c>
      <c r="D202" s="43" t="s">
        <v>132</v>
      </c>
      <c r="E202" s="43">
        <v>48808</v>
      </c>
      <c r="F202" s="43"/>
      <c r="G202" s="43">
        <v>9761.6</v>
      </c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Hae-Young Kim</cp:lastModifiedBy>
  <dcterms:created xsi:type="dcterms:W3CDTF">2018-02-08T20:55:40Z</dcterms:created>
  <dcterms:modified xsi:type="dcterms:W3CDTF">2020-01-31T02:16:59Z</dcterms:modified>
</cp:coreProperties>
</file>